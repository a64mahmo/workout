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abdallhmahmood/Downloads/"/>
    </mc:Choice>
  </mc:AlternateContent>
  <xr:revisionPtr revIDLastSave="0" documentId="13_ncr:1_{95D86E69-925A-D242-9022-13A30726C5ED}" xr6:coauthVersionLast="47" xr6:coauthVersionMax="47" xr10:uidLastSave="{00000000-0000-0000-0000-000000000000}"/>
  <bookViews>
    <workbookView xWindow="0" yWindow="500" windowWidth="28800" windowHeight="15960" activeTab="1" xr2:uid="{00000000-000D-0000-FFFF-FFFF00000000}"/>
  </bookViews>
  <sheets>
    <sheet name="Block 1" sheetId="1" r:id="rId1"/>
    <sheet name="Block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hJ2XyLuGdDJsGUVd43GaxSWVFxXw=="/>
    </ext>
  </extLst>
</workbook>
</file>

<file path=xl/calcChain.xml><?xml version="1.0" encoding="utf-8"?>
<calcChain xmlns="http://schemas.openxmlformats.org/spreadsheetml/2006/main">
  <c r="G11" i="1" l="1"/>
  <c r="G12" i="1"/>
  <c r="G19" i="1"/>
  <c r="G34" i="1"/>
  <c r="G41" i="1"/>
  <c r="G56" i="1"/>
  <c r="G57" i="1"/>
  <c r="G64" i="1"/>
  <c r="G79" i="1"/>
  <c r="G86" i="1"/>
  <c r="G101" i="1"/>
  <c r="G102" i="1"/>
  <c r="G109" i="1"/>
  <c r="G124" i="1"/>
  <c r="G131" i="1"/>
  <c r="G146" i="1"/>
  <c r="G147" i="1"/>
  <c r="G154" i="1"/>
  <c r="G169" i="1"/>
  <c r="G176" i="1"/>
  <c r="G191" i="1"/>
  <c r="G192" i="1"/>
  <c r="G199" i="1"/>
  <c r="G214" i="1"/>
  <c r="G221" i="1"/>
  <c r="G236" i="1"/>
  <c r="G237" i="1"/>
  <c r="G244" i="1"/>
  <c r="G259" i="1"/>
  <c r="G266" i="1"/>
  <c r="G281" i="1"/>
  <c r="G282" i="1"/>
  <c r="G289" i="1"/>
  <c r="G304" i="1"/>
  <c r="G311" i="1"/>
  <c r="G326" i="1"/>
  <c r="G327" i="1"/>
  <c r="G334" i="1"/>
  <c r="G349" i="1"/>
  <c r="G356" i="1"/>
  <c r="G366" i="2"/>
  <c r="G365" i="2"/>
  <c r="G358" i="2"/>
  <c r="G342" i="2"/>
  <c r="G335" i="2"/>
  <c r="G334" i="2"/>
  <c r="G333" i="2"/>
  <c r="G320" i="2"/>
  <c r="G319" i="2"/>
  <c r="G312" i="2"/>
  <c r="G296" i="2"/>
  <c r="G289" i="2"/>
  <c r="G288" i="2"/>
  <c r="G287" i="2"/>
  <c r="G274" i="2"/>
  <c r="G273" i="2"/>
  <c r="G266" i="2"/>
  <c r="G250" i="2"/>
  <c r="G243" i="2"/>
  <c r="G242" i="2"/>
  <c r="G241" i="2"/>
  <c r="G228" i="2"/>
  <c r="G227" i="2"/>
  <c r="G220" i="2"/>
  <c r="G204" i="2"/>
  <c r="G197" i="2"/>
  <c r="G196" i="2"/>
  <c r="G195" i="2"/>
  <c r="G182" i="2"/>
  <c r="G181" i="2"/>
  <c r="G174" i="2"/>
  <c r="G158" i="2"/>
  <c r="G151" i="2"/>
  <c r="G150" i="2"/>
  <c r="G149" i="2"/>
  <c r="G136" i="2"/>
  <c r="G135" i="2"/>
  <c r="G128" i="2"/>
  <c r="G112" i="2"/>
  <c r="G105" i="2"/>
  <c r="G104" i="2"/>
  <c r="G103" i="2"/>
  <c r="G90" i="2"/>
  <c r="G89" i="2"/>
  <c r="G82" i="2"/>
  <c r="G66" i="2"/>
  <c r="G59" i="2"/>
  <c r="G58" i="2"/>
  <c r="G57" i="2"/>
  <c r="G44" i="2"/>
  <c r="G43" i="2"/>
  <c r="G36" i="2"/>
  <c r="G20" i="2"/>
  <c r="G13" i="2"/>
  <c r="G12" i="2"/>
  <c r="G11" i="2"/>
</calcChain>
</file>

<file path=xl/sharedStrings.xml><?xml version="1.0" encoding="utf-8"?>
<sst xmlns="http://schemas.openxmlformats.org/spreadsheetml/2006/main" count="2604" uniqueCount="203">
  <si>
    <t>JEFF NIPPARD'S Push Pull Legs - 6X/WEEK SPREADSHEET</t>
  </si>
  <si>
    <t xml:space="preserve">Copyright 2020 by Jeff Nippard. All rights reserved. </t>
  </si>
  <si>
    <r>
      <rPr>
        <b/>
        <sz val="20"/>
        <color theme="1"/>
        <rFont val="Arial"/>
      </rPr>
      <t>IMPORTANT:</t>
    </r>
    <r>
      <rPr>
        <sz val="20"/>
        <color theme="1"/>
        <rFont val="Arial"/>
      </rPr>
      <t xml:space="preserve"> In the light red cell below, type "kg" if using kilograms or type "lbs" if using pounds (quotation marks not included)</t>
    </r>
  </si>
  <si>
    <r>
      <rPr>
        <b/>
        <sz val="18"/>
        <color theme="0"/>
        <rFont val="Arial"/>
      </rPr>
      <t xml:space="preserve">IMPORTANT: </t>
    </r>
    <r>
      <rPr>
        <sz val="18"/>
        <color theme="0"/>
        <rFont val="Arial"/>
      </rPr>
      <t xml:space="preserve">On the right, enter your 1RM loads in the spaces below the given exercise (use the same units you specified above). </t>
    </r>
  </si>
  <si>
    <t>Squat</t>
  </si>
  <si>
    <t>Bench</t>
  </si>
  <si>
    <t xml:space="preserve">Deadlift </t>
  </si>
  <si>
    <t>OHP</t>
  </si>
  <si>
    <t>Week 1</t>
  </si>
  <si>
    <t>Workout</t>
  </si>
  <si>
    <t>Exercise</t>
  </si>
  <si>
    <t>Working Sets</t>
  </si>
  <si>
    <t>Reps / Duration</t>
  </si>
  <si>
    <t>RPE / %</t>
  </si>
  <si>
    <t>Rest</t>
  </si>
  <si>
    <t>Notes</t>
  </si>
  <si>
    <t>Legs #1</t>
  </si>
  <si>
    <t>BACK SQUAT</t>
  </si>
  <si>
    <t>3-4min</t>
  </si>
  <si>
    <t>SIT BACK AND DOWN, 15° TOE FLARE, DRIVE YOUR KNEES OUT LATERALLY</t>
  </si>
  <si>
    <t>ROMANIAN DEADLIFT</t>
  </si>
  <si>
    <t>8-10</t>
  </si>
  <si>
    <t>FOCUS ON KEEPING YOUR BACK FLAT, FEEL THE STRETCH IN YOUR HAMSTRINGS DURING THE ECCENTRIC</t>
  </si>
  <si>
    <t>CABLE PULL THROUGH</t>
  </si>
  <si>
    <t>10-12</t>
  </si>
  <si>
    <t>2-3min</t>
  </si>
  <si>
    <t>FOCUS ON THRUSTING YOUR HIPS FORWARD AND SQUEEZING YOUR GLUTES</t>
  </si>
  <si>
    <t>DUMBBELL WALKING LUNGE</t>
  </si>
  <si>
    <t>20 each leg</t>
  </si>
  <si>
    <t>1-2min</t>
  </si>
  <si>
    <t>TAKE MEDIUM STRIDES, MINIMIZE THE AMOUNT YOU PUSH OFF YOUR REAR LEG</t>
  </si>
  <si>
    <t>A1: LEG EXTENSION</t>
  </si>
  <si>
    <t>0min</t>
  </si>
  <si>
    <t>FOCUS ON SQUEEZING YOUR QUADS TO MOVE THE WEIGHT</t>
  </si>
  <si>
    <t>A2: SEATED LEG CURL</t>
  </si>
  <si>
    <t>FOCUS ON SQUEEZING YOUR HAMSTRINGS TO MOVE THE WEIGHT</t>
  </si>
  <si>
    <t>STANDING CALF RAISE</t>
  </si>
  <si>
    <t>PRESS ALL THE WAY UP TO YOUR TOES, STRETCH YOUR CALVES AT THE TO BOTTOM, DON'T BOUNCE</t>
  </si>
  <si>
    <t>Push #1</t>
  </si>
  <si>
    <t>BARBELL BENCH PRESS</t>
  </si>
  <si>
    <t>TUCK ELBOWS AT A 45° ANGLE, SQUEEZE YOUR SHOULDER BLADES AND STAY FIRM ON THE BENCH</t>
  </si>
  <si>
    <t>DUMBBELL SEATED SHOULDER PRESS</t>
  </si>
  <si>
    <t>BRING THE DUMBBELL ALL THE WAY DOWN, KEEP YOUR TORSO UPRIGHT</t>
  </si>
  <si>
    <t>WEIGHTED DIP</t>
  </si>
  <si>
    <t>6-10</t>
  </si>
  <si>
    <t>TUCK YOUR ELBOWS AT A 45° ANGLE, LEAN YOUR TORSO FORWARD 15°</t>
  </si>
  <si>
    <t>LOW-TO-HIGH CABLE FLYE</t>
  </si>
  <si>
    <t>12-15</t>
  </si>
  <si>
    <t>START WITH YOUR HANDS OUT TO YOUR SIDES AND PALMS FACING THE CEILING, FOCUS ON PULLING YOUR ELBOWS UP AND IN WHILE ROTATING YOUR PALMS TO FACE THE FLOOR</t>
  </si>
  <si>
    <t>DUMBBELL ISOLATERAL SKULL CRUSHER</t>
  </si>
  <si>
    <t>USE 1 DUMBBELL IN EACH HAND. KEEP YOUR ELBOWS IN A FIXED POSITION INLINE WITH THE TOP OF YOUR HEAD, PRESS THE DUMBBELL OVER YOUR HEAD (NOT IN FRONT OF YOUR FACE)</t>
  </si>
  <si>
    <t>DUMBBELL LATERAL RAISE</t>
  </si>
  <si>
    <t>RAISE THE DUMBBELL "OUT" NOT "UP", MIND MUSCLE CONNECTION WITH MIDDLE FIBERS</t>
  </si>
  <si>
    <t>AB WHEEL ROLLOUT</t>
  </si>
  <si>
    <t>SQUEEZE YOUR GLUTES AND FOCUS ON KEEPING YOUR LOWER BACK FLAT, CUT THE ROM SHORT IF YOU CAN'T MAINTAIN THIS POSITION</t>
  </si>
  <si>
    <t>Pull #1</t>
  </si>
  <si>
    <t>1 ARM LAT PULL-IN</t>
  </si>
  <si>
    <t>15-20</t>
  </si>
  <si>
    <t>LIGHT SETS, DRIVE ELBOW DOWN AND IN TOWARD SIDE, LATERALLY FLEX INTO THE DIRECTION OF PULL</t>
  </si>
  <si>
    <t>PULL-UP</t>
  </si>
  <si>
    <t>6-8</t>
  </si>
  <si>
    <t>PULL YOUR ELBOWS DOWN AND IN, MINIMIZE SWINGING</t>
  </si>
  <si>
    <t>PENDLAY ROW</t>
  </si>
  <si>
    <t>INITIATE THE MOVEMENT BY SQUEEZING YOUR SHOULDER BLADES TOGETHER, PULL TO YOUR LOWER CHEST, AVOID USING MOMENTUM</t>
  </si>
  <si>
    <t>MACHINE HIGH ROW</t>
  </si>
  <si>
    <t>FOCUS ON SQUEEZING YOUR LATS</t>
  </si>
  <si>
    <t>SEATED FACE PULL</t>
  </si>
  <si>
    <t>PULL YOUR ELBOWS UP AND OUT, SQUEEZE YOUR SHOULDER BLADES TOGETHER</t>
  </si>
  <si>
    <t>A1: REVERSE GRIP EZ BAR CURL</t>
  </si>
  <si>
    <t>ARC THE BAR "OUT", NOT "UP". FOCUS ON SQUEEZING YOUR FOREARMS</t>
  </si>
  <si>
    <t>A2: SUPINATED EZ BAR CURL</t>
  </si>
  <si>
    <t>ARC THE BAR "OUT", NOT "UP". FOCUS ON SQUEEZING YOUR BICEPS</t>
  </si>
  <si>
    <t>DUMBBELL PREACHER CURL</t>
  </si>
  <si>
    <t>FOCUS ON SQUEEZING YOUR BICEPS TO MOVE THE WEIGHT</t>
  </si>
  <si>
    <t>Legs #2</t>
  </si>
  <si>
    <t>DEADLIFT</t>
  </si>
  <si>
    <t>BRACE YOUR LATS, CHEST TALL, HIPS HIGH, PULL THE SLACK OUT OF THE BAR PRIOR TO MOVING IT OFF THE GROUND</t>
  </si>
  <si>
    <t>FRONT SQUAT</t>
  </si>
  <si>
    <t>6-7</t>
  </si>
  <si>
    <t>SIT DOWN, 15° TOE FLARE, DRIVE YOUR KNEES OUT LATERALLY</t>
  </si>
  <si>
    <t>SINGLE-LEG LEG PRESS</t>
  </si>
  <si>
    <t>HIGH FOOT PLACEMENT</t>
  </si>
  <si>
    <t>SINGLE-LEG LEG EXTENSION</t>
  </si>
  <si>
    <t>START WITH YOUR WEAKER LEG, FOCUS ON SQUEEZING YOUR QUADS TO MOVE THE WEIGHT</t>
  </si>
  <si>
    <t>SWISS BALL SINGLE-LEG LEG CURL</t>
  </si>
  <si>
    <t>START WITH YOUR WEAKER LEG, PREVENT YOUR HIPS FROM TOUCH THE GROUND</t>
  </si>
  <si>
    <t>SEATED CALF RAISE</t>
  </si>
  <si>
    <t>Push #2</t>
  </si>
  <si>
    <t>CLOSE-GRIP BENCH PRESS</t>
  </si>
  <si>
    <t>7-8</t>
  </si>
  <si>
    <t>SHOULDER WIDTH GRIP, ELBOWS DOWN AT YOUR SIDES</t>
  </si>
  <si>
    <t>OVERHEAD PRESS</t>
  </si>
  <si>
    <t>SQUEEZE YOUR GLUTES TO KEEP YOUR TORSO UPRIGHT, CLEAR YOUR HEAD OUT OF THE WAY, PRESS UP AND SLIGHTLY BACK</t>
  </si>
  <si>
    <t>DUMBBELL INCLINE PRESS</t>
  </si>
  <si>
    <t>~45 DEGREE INCLINE, MIND MUSCLE CONNECTION WITH UPPER PECS</t>
  </si>
  <si>
    <t>PEC DECK</t>
  </si>
  <si>
    <t>FOCUS ON BRINGING YOUR INNER ELBOWS TOGETHER - NOT YOUR HANDS</t>
  </si>
  <si>
    <t>CABLE LATERAL RAISE</t>
  </si>
  <si>
    <t>FOCUS ON SQUEEZING YOUR LATERAL DELT TO MOVE THE WEIGHT</t>
  </si>
  <si>
    <t>CABLE TRICEPS KICKBACK</t>
  </si>
  <si>
    <t>STAND UPRIGHT, KEEP YOUR ELBOWS BEHIND YOUR TORSO</t>
  </si>
  <si>
    <t>BICYCLE CRUNCH</t>
  </si>
  <si>
    <t>OPPOSITE KNEE TO ELBOW, FOCUS ON FLEXING YOUR SPINE</t>
  </si>
  <si>
    <t>Pull #2</t>
  </si>
  <si>
    <t>NEUTRAL-GRIP PULLDOWN</t>
  </si>
  <si>
    <t>PULL YOUR ELBOWS DOWN AGAINST YOUR SIDES</t>
  </si>
  <si>
    <t>A1: CABLE SEATED ELBOWS OUT ROW</t>
  </si>
  <si>
    <t>FOCUS ON SQUEEZING YOUR SHOULDER BLADES TOGETHER, PULL WITH YOUR ELBOWS UP AND OUT</t>
  </si>
  <si>
    <t>A2: CABLE SEATED ROW</t>
  </si>
  <si>
    <t>FOCUS ON SQUEEZING YOUR SHOULDER BLADES TOGETHER, PULL WITH YOUR ELBOWS DOWN AND IN</t>
  </si>
  <si>
    <t>KNEELING STRAIGHT-ARM CABLE PULL-OVER</t>
  </si>
  <si>
    <t>LEAN YOUR TORSO AT A 45° ANGLE, FOCUS ON PULLING THE WEIGHT STRAIGHT DOWN, NOT "IN"</t>
  </si>
  <si>
    <t>SNATCH GRIP BARBELL SHRUG</t>
  </si>
  <si>
    <t>1-2 min</t>
  </si>
  <si>
    <t>USE A 1.5X SHOULDER WIDTH GRIP, CONTROL THE WEIGHT AND "SHRUG UP TO YOUR EARS"</t>
  </si>
  <si>
    <t>CABLE REVERSE FLYE</t>
  </si>
  <si>
    <t>FOCUS ON SWEEPING THE WEIGHT OUT LATERALLY</t>
  </si>
  <si>
    <t>SINGLE-ARM CABLE CURL</t>
  </si>
  <si>
    <t>STAND UPRIGHT, KEEP YOUR ELBOW BEHIND YOUR TORSO</t>
  </si>
  <si>
    <t>HAMMER CURL</t>
  </si>
  <si>
    <t>Week 2</t>
  </si>
  <si>
    <t>Week 3</t>
  </si>
  <si>
    <t>Week 4</t>
  </si>
  <si>
    <t>Week 5</t>
  </si>
  <si>
    <t>Week 6</t>
  </si>
  <si>
    <t>Week 7</t>
  </si>
  <si>
    <t>Week 8</t>
  </si>
  <si>
    <r>
      <rPr>
        <b/>
        <sz val="20"/>
        <color theme="1"/>
        <rFont val="Arial"/>
      </rPr>
      <t>IMPORTANT:</t>
    </r>
    <r>
      <rPr>
        <sz val="20"/>
        <color theme="1"/>
        <rFont val="Arial"/>
      </rPr>
      <t xml:space="preserve"> In the light red cell below, type "kg" if using kilograms or type "lbs" if using pounds (quotation marks not included)</t>
    </r>
  </si>
  <si>
    <t>lbs</t>
  </si>
  <si>
    <r>
      <rPr>
        <b/>
        <sz val="18"/>
        <color theme="0"/>
        <rFont val="Arial"/>
      </rPr>
      <t xml:space="preserve">IMPORTANT: </t>
    </r>
    <r>
      <rPr>
        <sz val="18"/>
        <color theme="0"/>
        <rFont val="Arial"/>
      </rPr>
      <t xml:space="preserve">On the right, enter your 1RM loads in the spaces below the given exercise (use the same units you specified above). </t>
    </r>
  </si>
  <si>
    <t>TEMPO BACK SQUAT</t>
  </si>
  <si>
    <t>FULL 2-SECOND LOWERING PHASE. SIT BACK AND DOWN, 15° TOE FLARE, DRIVE YOUR KNEES OUT LATERALLY</t>
  </si>
  <si>
    <t>ROUND-BACK DUMBBELL 45° HYPEREXTENSION</t>
  </si>
  <si>
    <t>UPPER BACK ROUNDED, DRIVE YOUR HIPS INTO THE PAD LIKE A HIP THRUST</t>
  </si>
  <si>
    <t>SMITH MACHINE REVERSE LUNGE</t>
  </si>
  <si>
    <t>SIT BACK, START WITH YOUR WEAKER LEG</t>
  </si>
  <si>
    <t>ENHANCED-ECCENTRIC LEG EXTENSION</t>
  </si>
  <si>
    <t>HAVE A TRAINING PARTNER PUSH DOWN ON THE PAD DURING THE ECCENTRIC</t>
  </si>
  <si>
    <t>ENHANCED-ECCENTRIC LYING LEG CURL</t>
  </si>
  <si>
    <t>LATERAL BAND WALK</t>
  </si>
  <si>
    <t>OR MACHINE HIP ABDUCTION, FOCUS ON DRIVING YOUR KNEES OUT</t>
  </si>
  <si>
    <t>TEMPO STANDING CALF RAISE</t>
  </si>
  <si>
    <t>2-SECOND LOWERING PHASE. PRESS ALL THE WAY UP TO YOUR TOES, STRETCH YOUR CALVES AT THE BOTTOM, DON'T BOUNCE</t>
  </si>
  <si>
    <t>ARNOLD PRESS</t>
  </si>
  <si>
    <t>START WITH YOUR PALMS FACING IN, GRADUALLY ROTATE YOUR PALMS TO FACE OUT AS YOU PRESS UP</t>
  </si>
  <si>
    <t>CLOSE-GRIP SMITH MACHINE PRESS</t>
  </si>
  <si>
    <t>BARBELL FLOOR SKULL CRUSHER</t>
  </si>
  <si>
    <t>PUSH YOUR SHOULDER BLADES FORWARD, KEEP YOUR ELBOWS INLINE WITH YOUR HEAD, ONLY MOVE AT THE ELBOW JOINT</t>
  </si>
  <si>
    <t>EGYPTIAN LATERAL RAISE</t>
  </si>
  <si>
    <t>LEAN AWAY FROM THE CABLE, FOCUS ON SQUEEZING YOUR DELTS</t>
  </si>
  <si>
    <t>ROPE OVERHEAD TRICEPS EXTENSION</t>
  </si>
  <si>
    <t>FOCUS ON STRETCHING YOUR TRICEPS AT THE BOTTOM OF THE MOVEMENT</t>
  </si>
  <si>
    <t>HANGING LEG RAISE</t>
  </si>
  <si>
    <t>FOCUS ON FLEXING YOUR SPINE</t>
  </si>
  <si>
    <t>ADD WEIGHT OR USE ASSISTANCE AS NEEDED</t>
  </si>
  <si>
    <t>DUMBBELL ONE-ARM ROW</t>
  </si>
  <si>
    <t>BRACE WITH YOUR NON-WORKING ARM, PULL YOUR ARMS BACK AT YOUR SIDES</t>
  </si>
  <si>
    <t>CHEST-SUPPORTED T-BAR ROW w/ BAND</t>
  </si>
  <si>
    <t>OPTIONALLY LOOP A BAND AROUND THE WEIGHT TO INCREASE TENSION AT THE TOP</t>
  </si>
  <si>
    <t>SWEEP THE CABLES OUT AND BACK. MIND MUSCLE CONNECTION WITH REAR DELTS</t>
  </si>
  <si>
    <t>ROPE UPRIGHT ROW</t>
  </si>
  <si>
    <t>FOCUS ON SQUEEZING YOUR UPPER TRAPS AT THE TOP</t>
  </si>
  <si>
    <t>DUMBBELL SUPINATED CURL</t>
  </si>
  <si>
    <t>THINK ABOUT DRIVING YOUR PINKY TO YOUR LATERAL DELT</t>
  </si>
  <si>
    <t>SPIDER CURL</t>
  </si>
  <si>
    <t>BRACE YOUR CHEST AGAINST AN INCLINE BENCH, CURL WITH YOUR ELBOWS SLIGHTLY IN FRONT OF YOU</t>
  </si>
  <si>
    <t>PAUSE BARBELL HIP THRUST</t>
  </si>
  <si>
    <t>3-SECOND PAUSE. TUCK YOUR CHIN AND RIB CAGE DOWN, ONLY MOVE YOUR HIPS. USE A PAD</t>
  </si>
  <si>
    <t>SLOW ECCENTRIC GOBLET SQUAT</t>
  </si>
  <si>
    <t>3-SECOND LOWERING PHASE. SIT DOWN, KNEES OUT, TORSO UPRIGHT</t>
  </si>
  <si>
    <t>SEATED LEG CURL</t>
  </si>
  <si>
    <t>CABLE ROPE PULLTHROUGH</t>
  </si>
  <si>
    <t>FOCUS ON SQUEEZING YOUR GLUTES TO MOVE THE WEIGHT</t>
  </si>
  <si>
    <t>PRESS ALL THE WAY UP TO YOUR TOES, STRETCH YOUR CALVES AT THE BOTTOM, DON'T BOUNCE</t>
  </si>
  <si>
    <t>TUCK ELBOWS AT A 45° ANGLE, KEEP YOUR SCAPULAE RETRACTED AND DEPRESSED</t>
  </si>
  <si>
    <t>OVERHEAD PRESS / PUSH PRESS COMPLEX</t>
  </si>
  <si>
    <t>4, 4</t>
  </si>
  <si>
    <t>FIRST 4 REPS MILITARY PRESS, LAST 4 REPS PUSH PRESS (USE LEG DRIVE)</t>
  </si>
  <si>
    <t xml:space="preserve">SLOW ECCENTRIC DIP </t>
  </si>
  <si>
    <t xml:space="preserve">8-10 </t>
  </si>
  <si>
    <t>3-SECOND LOWERING PHASE. TUCK ELBOWS AT A 45° ANGLE, LEAN YOUR TORSO FORWARD 15°</t>
  </si>
  <si>
    <t>TRICEPS V-BAR PRESSDOWN</t>
  </si>
  <si>
    <t>FOCUS ON SQUEEZING YOUR TRICEPS TO MOVE THE WEIGHT</t>
  </si>
  <si>
    <t>MACHINE LATERAL RAISE</t>
  </si>
  <si>
    <t>PLANK</t>
  </si>
  <si>
    <t>30sec</t>
  </si>
  <si>
    <t>FOCUS ON KEEPING YOUR BACK FLAT, SQUEEZE YOUR GLUTES AND ABS</t>
  </si>
  <si>
    <t>SINGLE-ARM PULLDOWN</t>
  </si>
  <si>
    <t>START WITH YOUR WEAKER SIDE, STRETCH YOUR LAT AT THE TOP, PULL DOWN AND IN</t>
  </si>
  <si>
    <t>SEAL ROW</t>
  </si>
  <si>
    <t>YOU CAN DO THIS WITH DUMBBELLS OR A BARBELL, SQUEEZE YOUR GLUTES TO KEEP YOUR TORSO STABLE</t>
  </si>
  <si>
    <t>REVERSE PEC DECK</t>
  </si>
  <si>
    <t>SWEEP YOUR ARMS OUT LATERALLY, MIND MUSCLE CONNECTION WITH REAR DELTS</t>
  </si>
  <si>
    <t>A1: DUMBBELL PRONATED CURL</t>
  </si>
  <si>
    <t>ARC THE DUMBBELL "OUT", NOT "UP". FOCUS ON SQUEEZING YOUR FOREARMS</t>
  </si>
  <si>
    <t>A2: DUMBBELL HAMMER CURL</t>
  </si>
  <si>
    <t>A3: DUMBBELL SUPINATED CURL</t>
  </si>
  <si>
    <t>ARC THE DUMBBELL "OUT", NOT "UP". FOCUS ON SQUEEZING YOUR BICEPS</t>
  </si>
  <si>
    <t>FOCUS ON SQUEEZING YOUR UPPER TRAPS AT THE TOP AND INITIATING THE MOVEMENT "OUT"</t>
  </si>
  <si>
    <t>RPE 9 TEST</t>
  </si>
  <si>
    <t>DO AS MANY REPS AS POSSIBLE TO AN RPE OF 9. LEAVE ~1 REP IN THE TANK. PERFECT FORM!</t>
  </si>
  <si>
    <t>AMRAP</t>
  </si>
  <si>
    <t>AS MANY REPS AS POSSIBLE. ALWAYS USE A SPOTTER AND GOOD FORM!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</si>
</sst>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1" x14ac:knownFonts="1">
    <font>
      <sz val="11"/>
      <color theme="1"/>
      <name val="Arial"/>
    </font>
    <font>
      <b/>
      <sz val="24"/>
      <color theme="0"/>
      <name val="Calibri"/>
    </font>
    <font>
      <sz val="11"/>
      <name val="Arial"/>
    </font>
    <font>
      <b/>
      <sz val="10"/>
      <color rgb="FF000000"/>
      <name val="Calibri"/>
    </font>
    <font>
      <sz val="10"/>
      <color rgb="FF000000"/>
      <name val="Calibri"/>
    </font>
    <font>
      <sz val="14"/>
      <color rgb="FF3F3F3F"/>
      <name val="Calibri"/>
    </font>
    <font>
      <sz val="20"/>
      <color theme="1"/>
      <name val="Arial"/>
    </font>
    <font>
      <sz val="28"/>
      <color theme="1"/>
      <name val="Calibri"/>
    </font>
    <font>
      <sz val="20"/>
      <color rgb="FF000000"/>
      <name val="Calibri"/>
    </font>
    <font>
      <b/>
      <sz val="10"/>
      <color theme="1"/>
      <name val="Calibri"/>
    </font>
    <font>
      <sz val="10"/>
      <color theme="1"/>
      <name val="Calibri"/>
    </font>
    <font>
      <sz val="18"/>
      <color theme="0"/>
      <name val="Arial"/>
    </font>
    <font>
      <b/>
      <sz val="20"/>
      <color rgb="FF000000"/>
      <name val="Calibri"/>
    </font>
    <font>
      <sz val="20"/>
      <color theme="1"/>
      <name val="Calibri"/>
    </font>
    <font>
      <b/>
      <sz val="36"/>
      <color theme="1"/>
      <name val="Calibri"/>
    </font>
    <font>
      <b/>
      <sz val="16"/>
      <color theme="0"/>
      <name val="Calibri"/>
    </font>
    <font>
      <b/>
      <sz val="20"/>
      <color theme="1"/>
      <name val="Calibri"/>
    </font>
    <font>
      <sz val="11"/>
      <color theme="1"/>
      <name val="Calibri"/>
    </font>
    <font>
      <sz val="20"/>
      <color rgb="FFD8D8D8"/>
      <name val="Calibri"/>
    </font>
    <font>
      <b/>
      <sz val="20"/>
      <color theme="1"/>
      <name val="Arial"/>
    </font>
    <font>
      <b/>
      <sz val="18"/>
      <color theme="0"/>
      <name val="Arial"/>
    </font>
  </fonts>
  <fills count="11">
    <fill>
      <patternFill patternType="none"/>
    </fill>
    <fill>
      <patternFill patternType="gray125"/>
    </fill>
    <fill>
      <patternFill patternType="solid">
        <fgColor rgb="FFDE0000"/>
        <bgColor rgb="FFDE0000"/>
      </patternFill>
    </fill>
    <fill>
      <patternFill patternType="solid">
        <fgColor rgb="FFFF7171"/>
        <bgColor rgb="FFFF7171"/>
      </patternFill>
    </fill>
    <fill>
      <patternFill patternType="solid">
        <fgColor rgb="FFFF9F9F"/>
        <bgColor rgb="FFFF9F9F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525252"/>
        <bgColor rgb="FF525252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F3F3F3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2" fillId="5" borderId="12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6" borderId="15" xfId="0" applyFont="1" applyFill="1" applyBorder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wrapText="1"/>
    </xf>
    <xf numFmtId="0" fontId="15" fillId="7" borderId="17" xfId="0" applyFont="1" applyFill="1" applyBorder="1" applyAlignment="1">
      <alignment horizontal="center" vertical="center" wrapText="1"/>
    </xf>
    <xf numFmtId="0" fontId="15" fillId="7" borderId="17" xfId="0" applyFont="1" applyFill="1" applyBorder="1" applyAlignment="1">
      <alignment horizontal="center" vertical="center"/>
    </xf>
    <xf numFmtId="49" fontId="15" fillId="7" borderId="17" xfId="0" applyNumberFormat="1" applyFont="1" applyFill="1" applyBorder="1" applyAlignment="1">
      <alignment horizontal="center" vertical="center"/>
    </xf>
    <xf numFmtId="49" fontId="15" fillId="7" borderId="1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9" fontId="13" fillId="0" borderId="0" xfId="0" applyNumberFormat="1" applyFont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/>
    </xf>
    <xf numFmtId="9" fontId="13" fillId="0" borderId="23" xfId="0" applyNumberFormat="1" applyFont="1" applyBorder="1" applyAlignment="1">
      <alignment horizontal="center" vertical="center" wrapText="1"/>
    </xf>
    <xf numFmtId="164" fontId="13" fillId="0" borderId="23" xfId="0" applyNumberFormat="1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/>
    </xf>
    <xf numFmtId="164" fontId="13" fillId="0" borderId="26" xfId="0" applyNumberFormat="1" applyFont="1" applyBorder="1" applyAlignment="1">
      <alignment horizontal="center" vertical="center" wrapText="1"/>
    </xf>
    <xf numFmtId="165" fontId="13" fillId="0" borderId="23" xfId="0" applyNumberFormat="1" applyFont="1" applyBorder="1" applyAlignment="1">
      <alignment horizontal="center" vertical="center" wrapText="1"/>
    </xf>
    <xf numFmtId="49" fontId="13" fillId="0" borderId="23" xfId="0" applyNumberFormat="1" applyFont="1" applyBorder="1" applyAlignment="1">
      <alignment horizontal="center" vertical="center" wrapText="1"/>
    </xf>
    <xf numFmtId="0" fontId="17" fillId="0" borderId="0" xfId="0" applyFont="1"/>
    <xf numFmtId="0" fontId="13" fillId="8" borderId="17" xfId="0" applyFont="1" applyFill="1" applyBorder="1" applyAlignment="1">
      <alignment horizontal="center" vertical="center" wrapText="1"/>
    </xf>
    <xf numFmtId="49" fontId="18" fillId="8" borderId="17" xfId="0" applyNumberFormat="1" applyFont="1" applyFill="1" applyBorder="1" applyAlignment="1">
      <alignment horizontal="center" vertical="center" wrapText="1"/>
    </xf>
    <xf numFmtId="165" fontId="13" fillId="0" borderId="0" xfId="0" applyNumberFormat="1" applyFont="1" applyAlignment="1">
      <alignment horizontal="center" vertical="center" wrapText="1"/>
    </xf>
    <xf numFmtId="164" fontId="13" fillId="0" borderId="23" xfId="0" applyNumberFormat="1" applyFont="1" applyBorder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4" fontId="13" fillId="0" borderId="26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6" fillId="3" borderId="22" xfId="0" applyFont="1" applyFill="1" applyBorder="1" applyAlignment="1">
      <alignment horizontal="center" vertical="center"/>
    </xf>
    <xf numFmtId="0" fontId="2" fillId="0" borderId="24" xfId="0" applyFont="1" applyBorder="1"/>
    <xf numFmtId="0" fontId="2" fillId="0" borderId="25" xfId="0" applyFont="1" applyBorder="1"/>
    <xf numFmtId="0" fontId="16" fillId="3" borderId="19" xfId="0" applyFont="1" applyFill="1" applyBorder="1" applyAlignment="1">
      <alignment horizontal="center" vertical="center"/>
    </xf>
    <xf numFmtId="0" fontId="2" fillId="0" borderId="20" xfId="0" applyFont="1" applyBorder="1"/>
    <xf numFmtId="0" fontId="2" fillId="0" borderId="21" xfId="0" applyFont="1" applyBorder="1"/>
    <xf numFmtId="0" fontId="16" fillId="3" borderId="28" xfId="0" applyFont="1" applyFill="1" applyBorder="1" applyAlignment="1">
      <alignment horizontal="center" vertical="center"/>
    </xf>
    <xf numFmtId="0" fontId="2" fillId="0" borderId="29" xfId="0" applyFont="1" applyBorder="1"/>
    <xf numFmtId="0" fontId="14" fillId="8" borderId="16" xfId="0" applyFont="1" applyFill="1" applyBorder="1" applyAlignment="1">
      <alignment horizontal="center" vertical="center" textRotation="90"/>
    </xf>
    <xf numFmtId="0" fontId="2" fillId="0" borderId="18" xfId="0" applyFont="1" applyBorder="1"/>
    <xf numFmtId="0" fontId="2" fillId="0" borderId="27" xfId="0" applyFont="1" applyBorder="1"/>
    <xf numFmtId="0" fontId="14" fillId="10" borderId="16" xfId="0" applyFont="1" applyFill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6" fillId="3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7" fillId="4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11" fillId="2" borderId="10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2" fillId="0" borderId="13" xfId="0" applyFont="1" applyBorder="1"/>
    <xf numFmtId="0" fontId="2" fillId="0" borderId="14" xfId="0" applyFont="1" applyBorder="1"/>
    <xf numFmtId="0" fontId="14" fillId="0" borderId="16" xfId="0" applyFont="1" applyBorder="1" applyAlignment="1">
      <alignment horizontal="center" vertical="center" textRotation="90"/>
    </xf>
    <xf numFmtId="0" fontId="14" fillId="9" borderId="16" xfId="0" applyFont="1" applyFill="1" applyBorder="1" applyAlignment="1">
      <alignment horizontal="center" vertical="center" textRotation="90"/>
    </xf>
    <xf numFmtId="0" fontId="16" fillId="3" borderId="29" xfId="0" applyFont="1" applyFill="1" applyBorder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  <xf numFmtId="0" fontId="14" fillId="10" borderId="18" xfId="0" applyFont="1" applyFill="1" applyBorder="1" applyAlignment="1">
      <alignment horizontal="center" vertical="center" textRotation="90"/>
    </xf>
    <xf numFmtId="0" fontId="14" fillId="10" borderId="27" xfId="0" applyFont="1" applyFill="1" applyBorder="1" applyAlignment="1">
      <alignment horizontal="center" vertical="center" textRotation="90"/>
    </xf>
    <xf numFmtId="0" fontId="14" fillId="8" borderId="18" xfId="0" applyFont="1" applyFill="1" applyBorder="1" applyAlignment="1">
      <alignment horizontal="center" vertical="center" textRotation="90"/>
    </xf>
    <xf numFmtId="0" fontId="14" fillId="8" borderId="27" xfId="0" applyFont="1" applyFill="1" applyBorder="1" applyAlignment="1">
      <alignment horizontal="center" vertical="center" textRotation="90"/>
    </xf>
    <xf numFmtId="0" fontId="14" fillId="9" borderId="18" xfId="0" applyFont="1" applyFill="1" applyBorder="1" applyAlignment="1">
      <alignment horizontal="center" vertical="center" textRotation="90"/>
    </xf>
    <xf numFmtId="0" fontId="14" fillId="9" borderId="27" xfId="0" applyFont="1" applyFill="1" applyBorder="1" applyAlignment="1">
      <alignment horizontal="center" vertical="center" textRotation="90"/>
    </xf>
    <xf numFmtId="0" fontId="14" fillId="0" borderId="18" xfId="0" applyFont="1" applyBorder="1" applyAlignment="1">
      <alignment horizontal="center" vertical="center" textRotation="90"/>
    </xf>
    <xf numFmtId="0" fontId="14" fillId="0" borderId="27" xfId="0" applyFont="1" applyBorder="1" applyAlignment="1">
      <alignment horizontal="center" vertical="center" textRotation="90"/>
    </xf>
    <xf numFmtId="0" fontId="11" fillId="2" borderId="22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0">
    <dxf>
      <fill>
        <patternFill patternType="solid">
          <fgColor rgb="FFE7E6E6"/>
          <bgColor rgb="FFE7E6E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428625</xdr:colOff>
      <xdr:row>37</xdr:row>
      <xdr:rowOff>47625</xdr:rowOff>
    </xdr:from>
    <xdr:ext cx="542925" cy="5143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14</xdr:col>
      <xdr:colOff>114300</xdr:colOff>
      <xdr:row>36</xdr:row>
      <xdr:rowOff>485775</xdr:rowOff>
    </xdr:from>
    <xdr:ext cx="542925" cy="5143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15</xdr:col>
      <xdr:colOff>352425</xdr:colOff>
      <xdr:row>35</xdr:row>
      <xdr:rowOff>142875</xdr:rowOff>
    </xdr:from>
    <xdr:ext cx="542925" cy="51435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257175</xdr:colOff>
      <xdr:row>36</xdr:row>
      <xdr:rowOff>581025</xdr:rowOff>
    </xdr:from>
    <xdr:ext cx="542925" cy="51435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14</xdr:col>
      <xdr:colOff>228600</xdr:colOff>
      <xdr:row>37</xdr:row>
      <xdr:rowOff>247650</xdr:rowOff>
    </xdr:from>
    <xdr:ext cx="542925" cy="51435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238125</xdr:colOff>
      <xdr:row>75</xdr:row>
      <xdr:rowOff>47625</xdr:rowOff>
    </xdr:from>
    <xdr:ext cx="542925" cy="51435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504825</xdr:colOff>
      <xdr:row>75</xdr:row>
      <xdr:rowOff>200025</xdr:rowOff>
    </xdr:from>
    <xdr:ext cx="542925" cy="51435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14</xdr:col>
      <xdr:colOff>85725</xdr:colOff>
      <xdr:row>76</xdr:row>
      <xdr:rowOff>114300</xdr:rowOff>
    </xdr:from>
    <xdr:ext cx="542925" cy="51435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552450</xdr:colOff>
      <xdr:row>77</xdr:row>
      <xdr:rowOff>76200</xdr:rowOff>
    </xdr:from>
    <xdr:ext cx="542925" cy="514350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476250</xdr:colOff>
      <xdr:row>79</xdr:row>
      <xdr:rowOff>171450</xdr:rowOff>
    </xdr:from>
    <xdr:ext cx="542925" cy="514350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171450</xdr:colOff>
      <xdr:row>140</xdr:row>
      <xdr:rowOff>190500</xdr:rowOff>
    </xdr:from>
    <xdr:ext cx="542925" cy="51435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14</xdr:col>
      <xdr:colOff>19050</xdr:colOff>
      <xdr:row>136</xdr:row>
      <xdr:rowOff>47625</xdr:rowOff>
    </xdr:from>
    <xdr:ext cx="542925" cy="51435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409575</xdr:colOff>
      <xdr:row>129</xdr:row>
      <xdr:rowOff>0</xdr:rowOff>
    </xdr:from>
    <xdr:ext cx="542925" cy="514350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15</xdr:col>
      <xdr:colOff>180975</xdr:colOff>
      <xdr:row>130</xdr:row>
      <xdr:rowOff>219075</xdr:rowOff>
    </xdr:from>
    <xdr:ext cx="542925" cy="514350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12</xdr:col>
      <xdr:colOff>438150</xdr:colOff>
      <xdr:row>129</xdr:row>
      <xdr:rowOff>247650</xdr:rowOff>
    </xdr:from>
    <xdr:ext cx="542925" cy="514350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21</xdr:col>
      <xdr:colOff>428625</xdr:colOff>
      <xdr:row>171</xdr:row>
      <xdr:rowOff>628650</xdr:rowOff>
    </xdr:from>
    <xdr:ext cx="542925" cy="514350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23</xdr:col>
      <xdr:colOff>361950</xdr:colOff>
      <xdr:row>171</xdr:row>
      <xdr:rowOff>438150</xdr:rowOff>
    </xdr:from>
    <xdr:ext cx="542925" cy="514350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22</xdr:col>
      <xdr:colOff>361950</xdr:colOff>
      <xdr:row>171</xdr:row>
      <xdr:rowOff>600075</xdr:rowOff>
    </xdr:from>
    <xdr:ext cx="542925" cy="514350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17</xdr:col>
      <xdr:colOff>457200</xdr:colOff>
      <xdr:row>171</xdr:row>
      <xdr:rowOff>552450</xdr:rowOff>
    </xdr:from>
    <xdr:ext cx="542925" cy="514350"/>
    <xdr:sp macro="" textlink="">
      <xdr:nvSpPr>
        <xdr:cNvPr id="20" name="Shape 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25</xdr:col>
      <xdr:colOff>142875</xdr:colOff>
      <xdr:row>172</xdr:row>
      <xdr:rowOff>180975</xdr:rowOff>
    </xdr:from>
    <xdr:ext cx="542925" cy="514350"/>
    <xdr:sp macro="" textlink="">
      <xdr:nvSpPr>
        <xdr:cNvPr id="21" name="Shape 5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14</xdr:col>
      <xdr:colOff>428625</xdr:colOff>
      <xdr:row>218</xdr:row>
      <xdr:rowOff>9525</xdr:rowOff>
    </xdr:from>
    <xdr:ext cx="542925" cy="514350"/>
    <xdr:sp macro="" textlink="">
      <xdr:nvSpPr>
        <xdr:cNvPr id="22" name="Shape 3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238125</xdr:colOff>
      <xdr:row>217</xdr:row>
      <xdr:rowOff>628650</xdr:rowOff>
    </xdr:from>
    <xdr:ext cx="542925" cy="514350"/>
    <xdr:sp macro="" textlink="">
      <xdr:nvSpPr>
        <xdr:cNvPr id="23" name="Shape 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542925</xdr:colOff>
      <xdr:row>220</xdr:row>
      <xdr:rowOff>152400</xdr:rowOff>
    </xdr:from>
    <xdr:ext cx="542925" cy="514350"/>
    <xdr:sp macro="" textlink="">
      <xdr:nvSpPr>
        <xdr:cNvPr id="24" name="Shape 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17</xdr:col>
      <xdr:colOff>142875</xdr:colOff>
      <xdr:row>220</xdr:row>
      <xdr:rowOff>228600</xdr:rowOff>
    </xdr:from>
    <xdr:ext cx="542925" cy="514350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57150</xdr:colOff>
      <xdr:row>217</xdr:row>
      <xdr:rowOff>457200</xdr:rowOff>
    </xdr:from>
    <xdr:ext cx="542925" cy="514350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15</xdr:col>
      <xdr:colOff>161925</xdr:colOff>
      <xdr:row>262</xdr:row>
      <xdr:rowOff>95250</xdr:rowOff>
    </xdr:from>
    <xdr:ext cx="542925" cy="514350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571500</xdr:colOff>
      <xdr:row>262</xdr:row>
      <xdr:rowOff>295275</xdr:rowOff>
    </xdr:from>
    <xdr:ext cx="542925" cy="514350"/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209550</xdr:colOff>
      <xdr:row>261</xdr:row>
      <xdr:rowOff>352425</xdr:rowOff>
    </xdr:from>
    <xdr:ext cx="542925" cy="514350"/>
    <xdr:sp macro="" textlink="">
      <xdr:nvSpPr>
        <xdr:cNvPr id="29" name="Shape 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142875</xdr:colOff>
      <xdr:row>260</xdr:row>
      <xdr:rowOff>276225</xdr:rowOff>
    </xdr:from>
    <xdr:ext cx="542925" cy="514350"/>
    <xdr:sp macro="" textlink="">
      <xdr:nvSpPr>
        <xdr:cNvPr id="30" name="Shape 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219075</xdr:colOff>
      <xdr:row>261</xdr:row>
      <xdr:rowOff>171450</xdr:rowOff>
    </xdr:from>
    <xdr:ext cx="542925" cy="514350"/>
    <xdr:sp macro="" textlink="">
      <xdr:nvSpPr>
        <xdr:cNvPr id="31" name="Shape 3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14</xdr:col>
      <xdr:colOff>371475</xdr:colOff>
      <xdr:row>305</xdr:row>
      <xdr:rowOff>0</xdr:rowOff>
    </xdr:from>
    <xdr:ext cx="542925" cy="514350"/>
    <xdr:sp macro="" textlink="">
      <xdr:nvSpPr>
        <xdr:cNvPr id="32" name="Shape 3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19</xdr:col>
      <xdr:colOff>209550</xdr:colOff>
      <xdr:row>305</xdr:row>
      <xdr:rowOff>0</xdr:rowOff>
    </xdr:from>
    <xdr:ext cx="542925" cy="514350"/>
    <xdr:sp macro="" textlink="">
      <xdr:nvSpPr>
        <xdr:cNvPr id="33" name="Shape 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18</xdr:col>
      <xdr:colOff>495300</xdr:colOff>
      <xdr:row>306</xdr:row>
      <xdr:rowOff>371475</xdr:rowOff>
    </xdr:from>
    <xdr:ext cx="542925" cy="514350"/>
    <xdr:sp macro="" textlink="">
      <xdr:nvSpPr>
        <xdr:cNvPr id="34" name="Shape 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390525</xdr:colOff>
      <xdr:row>304</xdr:row>
      <xdr:rowOff>190500</xdr:rowOff>
    </xdr:from>
    <xdr:ext cx="542925" cy="514350"/>
    <xdr:sp macro="" textlink="">
      <xdr:nvSpPr>
        <xdr:cNvPr id="35" name="Shape 3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66675</xdr:colOff>
      <xdr:row>304</xdr:row>
      <xdr:rowOff>66675</xdr:rowOff>
    </xdr:from>
    <xdr:ext cx="542925" cy="514350"/>
    <xdr:sp macro="" textlink="">
      <xdr:nvSpPr>
        <xdr:cNvPr id="36" name="Shape 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57150</xdr:colOff>
      <xdr:row>351</xdr:row>
      <xdr:rowOff>38100</xdr:rowOff>
    </xdr:from>
    <xdr:ext cx="542925" cy="514350"/>
    <xdr:sp macro="" textlink="">
      <xdr:nvSpPr>
        <xdr:cNvPr id="37" name="Shape 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371475</xdr:colOff>
      <xdr:row>355</xdr:row>
      <xdr:rowOff>476250</xdr:rowOff>
    </xdr:from>
    <xdr:ext cx="542925" cy="514350"/>
    <xdr:sp macro="" textlink="">
      <xdr:nvSpPr>
        <xdr:cNvPr id="38" name="Shape 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15</xdr:col>
      <xdr:colOff>581025</xdr:colOff>
      <xdr:row>350</xdr:row>
      <xdr:rowOff>0</xdr:rowOff>
    </xdr:from>
    <xdr:ext cx="542925" cy="514350"/>
    <xdr:sp macro="" textlink="">
      <xdr:nvSpPr>
        <xdr:cNvPr id="39" name="Shape 3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504825</xdr:colOff>
      <xdr:row>354</xdr:row>
      <xdr:rowOff>228600</xdr:rowOff>
    </xdr:from>
    <xdr:ext cx="542925" cy="514350"/>
    <xdr:sp macro="" textlink="">
      <xdr:nvSpPr>
        <xdr:cNvPr id="40" name="Shape 7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18</xdr:col>
      <xdr:colOff>190500</xdr:colOff>
      <xdr:row>353</xdr:row>
      <xdr:rowOff>628650</xdr:rowOff>
    </xdr:from>
    <xdr:ext cx="542925" cy="514350"/>
    <xdr:sp macro="" textlink="">
      <xdr:nvSpPr>
        <xdr:cNvPr id="41" name="Shape 8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342900</xdr:colOff>
      <xdr:row>80</xdr:row>
      <xdr:rowOff>0</xdr:rowOff>
    </xdr:from>
    <xdr:ext cx="542925" cy="514350"/>
    <xdr:sp macro="" textlink="">
      <xdr:nvSpPr>
        <xdr:cNvPr id="42" name="Shape 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19050</xdr:colOff>
      <xdr:row>76</xdr:row>
      <xdr:rowOff>85725</xdr:rowOff>
    </xdr:from>
    <xdr:ext cx="542925" cy="514350"/>
    <xdr:sp macro="" textlink="">
      <xdr:nvSpPr>
        <xdr:cNvPr id="43" name="Shape 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14</xdr:col>
      <xdr:colOff>428625</xdr:colOff>
      <xdr:row>79</xdr:row>
      <xdr:rowOff>161925</xdr:rowOff>
    </xdr:from>
    <xdr:ext cx="542925" cy="514350"/>
    <xdr:sp macro="" textlink="">
      <xdr:nvSpPr>
        <xdr:cNvPr id="44" name="Shape 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15</xdr:col>
      <xdr:colOff>400050</xdr:colOff>
      <xdr:row>82</xdr:row>
      <xdr:rowOff>190500</xdr:rowOff>
    </xdr:from>
    <xdr:ext cx="542925" cy="514350"/>
    <xdr:sp macro="" textlink="">
      <xdr:nvSpPr>
        <xdr:cNvPr id="45" name="Shape 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12</xdr:col>
      <xdr:colOff>314325</xdr:colOff>
      <xdr:row>80</xdr:row>
      <xdr:rowOff>0</xdr:rowOff>
    </xdr:from>
    <xdr:ext cx="542925" cy="514350"/>
    <xdr:sp macro="" textlink="">
      <xdr:nvSpPr>
        <xdr:cNvPr id="46" name="Shape 3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266700</xdr:colOff>
      <xdr:row>138</xdr:row>
      <xdr:rowOff>19050</xdr:rowOff>
    </xdr:from>
    <xdr:ext cx="542925" cy="514350"/>
    <xdr:sp macro="" textlink="">
      <xdr:nvSpPr>
        <xdr:cNvPr id="47" name="Shape 3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15</xdr:col>
      <xdr:colOff>85725</xdr:colOff>
      <xdr:row>133</xdr:row>
      <xdr:rowOff>276225</xdr:rowOff>
    </xdr:from>
    <xdr:ext cx="542925" cy="514350"/>
    <xdr:sp macro="" textlink="">
      <xdr:nvSpPr>
        <xdr:cNvPr id="48" name="Shape 3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14</xdr:col>
      <xdr:colOff>409575</xdr:colOff>
      <xdr:row>126</xdr:row>
      <xdr:rowOff>247650</xdr:rowOff>
    </xdr:from>
    <xdr:ext cx="542925" cy="514350"/>
    <xdr:sp macro="" textlink="">
      <xdr:nvSpPr>
        <xdr:cNvPr id="49" name="Shape 3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14</xdr:col>
      <xdr:colOff>381000</xdr:colOff>
      <xdr:row>129</xdr:row>
      <xdr:rowOff>247650</xdr:rowOff>
    </xdr:from>
    <xdr:ext cx="542925" cy="514350"/>
    <xdr:sp macro="" textlink="">
      <xdr:nvSpPr>
        <xdr:cNvPr id="50" name="Shape 3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11</xdr:col>
      <xdr:colOff>342900</xdr:colOff>
      <xdr:row>126</xdr:row>
      <xdr:rowOff>142875</xdr:rowOff>
    </xdr:from>
    <xdr:ext cx="542925" cy="514350"/>
    <xdr:sp macro="" textlink="">
      <xdr:nvSpPr>
        <xdr:cNvPr id="51" name="Shape 3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22</xdr:col>
      <xdr:colOff>333375</xdr:colOff>
      <xdr:row>172</xdr:row>
      <xdr:rowOff>295275</xdr:rowOff>
    </xdr:from>
    <xdr:ext cx="542925" cy="514350"/>
    <xdr:sp macro="" textlink="">
      <xdr:nvSpPr>
        <xdr:cNvPr id="52" name="Shape 3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22</xdr:col>
      <xdr:colOff>266700</xdr:colOff>
      <xdr:row>173</xdr:row>
      <xdr:rowOff>133350</xdr:rowOff>
    </xdr:from>
    <xdr:ext cx="542925" cy="514350"/>
    <xdr:sp macro="" textlink="">
      <xdr:nvSpPr>
        <xdr:cNvPr id="53" name="Shape 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20</xdr:col>
      <xdr:colOff>428625</xdr:colOff>
      <xdr:row>173</xdr:row>
      <xdr:rowOff>152400</xdr:rowOff>
    </xdr:from>
    <xdr:ext cx="542925" cy="514350"/>
    <xdr:sp macro="" textlink="">
      <xdr:nvSpPr>
        <xdr:cNvPr id="54" name="Shape 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18</xdr:col>
      <xdr:colOff>495300</xdr:colOff>
      <xdr:row>173</xdr:row>
      <xdr:rowOff>323850</xdr:rowOff>
    </xdr:from>
    <xdr:ext cx="542925" cy="514350"/>
    <xdr:sp macro="" textlink="">
      <xdr:nvSpPr>
        <xdr:cNvPr id="55" name="Shape 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19</xdr:col>
      <xdr:colOff>95250</xdr:colOff>
      <xdr:row>173</xdr:row>
      <xdr:rowOff>247650</xdr:rowOff>
    </xdr:from>
    <xdr:ext cx="542925" cy="514350"/>
    <xdr:sp macro="" textlink="">
      <xdr:nvSpPr>
        <xdr:cNvPr id="56" name="Shape 3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15</xdr:col>
      <xdr:colOff>390525</xdr:colOff>
      <xdr:row>218</xdr:row>
      <xdr:rowOff>342900</xdr:rowOff>
    </xdr:from>
    <xdr:ext cx="542925" cy="514350"/>
    <xdr:sp macro="" textlink="">
      <xdr:nvSpPr>
        <xdr:cNvPr id="57" name="Shape 3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18</xdr:col>
      <xdr:colOff>314325</xdr:colOff>
      <xdr:row>217</xdr:row>
      <xdr:rowOff>447675</xdr:rowOff>
    </xdr:from>
    <xdr:ext cx="542925" cy="514350"/>
    <xdr:sp macro="" textlink="">
      <xdr:nvSpPr>
        <xdr:cNvPr id="58" name="Shape 4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17</xdr:col>
      <xdr:colOff>542925</xdr:colOff>
      <xdr:row>218</xdr:row>
      <xdr:rowOff>457200</xdr:rowOff>
    </xdr:from>
    <xdr:ext cx="542925" cy="514350"/>
    <xdr:sp macro="" textlink="">
      <xdr:nvSpPr>
        <xdr:cNvPr id="59" name="Shape 5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38100</xdr:colOff>
      <xdr:row>218</xdr:row>
      <xdr:rowOff>66675</xdr:rowOff>
    </xdr:from>
    <xdr:ext cx="542925" cy="514350"/>
    <xdr:sp macro="" textlink="">
      <xdr:nvSpPr>
        <xdr:cNvPr id="60" name="Shape 3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476250</xdr:colOff>
      <xdr:row>218</xdr:row>
      <xdr:rowOff>19050</xdr:rowOff>
    </xdr:from>
    <xdr:ext cx="542925" cy="514350"/>
    <xdr:sp macro="" textlink="">
      <xdr:nvSpPr>
        <xdr:cNvPr id="61" name="Shape 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15</xdr:col>
      <xdr:colOff>28575</xdr:colOff>
      <xdr:row>261</xdr:row>
      <xdr:rowOff>428625</xdr:rowOff>
    </xdr:from>
    <xdr:ext cx="542925" cy="514350"/>
    <xdr:sp macro="" textlink="">
      <xdr:nvSpPr>
        <xdr:cNvPr id="62" name="Shape 3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390525</xdr:colOff>
      <xdr:row>261</xdr:row>
      <xdr:rowOff>304800</xdr:rowOff>
    </xdr:from>
    <xdr:ext cx="542925" cy="514350"/>
    <xdr:sp macro="" textlink="">
      <xdr:nvSpPr>
        <xdr:cNvPr id="63" name="Shape 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114300</xdr:colOff>
      <xdr:row>261</xdr:row>
      <xdr:rowOff>609600</xdr:rowOff>
    </xdr:from>
    <xdr:ext cx="542925" cy="514350"/>
    <xdr:sp macro="" textlink="">
      <xdr:nvSpPr>
        <xdr:cNvPr id="64" name="Shape 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24</xdr:col>
      <xdr:colOff>581025</xdr:colOff>
      <xdr:row>261</xdr:row>
      <xdr:rowOff>590550</xdr:rowOff>
    </xdr:from>
    <xdr:ext cx="542925" cy="514350"/>
    <xdr:sp macro="" textlink="">
      <xdr:nvSpPr>
        <xdr:cNvPr id="65" name="Shape 3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15</xdr:col>
      <xdr:colOff>371475</xdr:colOff>
      <xdr:row>260</xdr:row>
      <xdr:rowOff>190500</xdr:rowOff>
    </xdr:from>
    <xdr:ext cx="542925" cy="514350"/>
    <xdr:sp macro="" textlink="">
      <xdr:nvSpPr>
        <xdr:cNvPr id="66" name="Shape 3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552450</xdr:colOff>
      <xdr:row>304</xdr:row>
      <xdr:rowOff>400050</xdr:rowOff>
    </xdr:from>
    <xdr:ext cx="542925" cy="514350"/>
    <xdr:sp macro="" textlink="">
      <xdr:nvSpPr>
        <xdr:cNvPr id="67" name="Shape 3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400050</xdr:colOff>
      <xdr:row>305</xdr:row>
      <xdr:rowOff>0</xdr:rowOff>
    </xdr:from>
    <xdr:ext cx="542925" cy="514350"/>
    <xdr:sp macro="" textlink="">
      <xdr:nvSpPr>
        <xdr:cNvPr id="68" name="Shape 3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15</xdr:col>
      <xdr:colOff>0</xdr:colOff>
      <xdr:row>304</xdr:row>
      <xdr:rowOff>447675</xdr:rowOff>
    </xdr:from>
    <xdr:ext cx="542925" cy="514350"/>
    <xdr:sp macro="" textlink="">
      <xdr:nvSpPr>
        <xdr:cNvPr id="69" name="Shape 3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14</xdr:col>
      <xdr:colOff>238125</xdr:colOff>
      <xdr:row>306</xdr:row>
      <xdr:rowOff>247650</xdr:rowOff>
    </xdr:from>
    <xdr:ext cx="542925" cy="514350"/>
    <xdr:sp macro="" textlink="">
      <xdr:nvSpPr>
        <xdr:cNvPr id="70" name="Shape 3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15</xdr:col>
      <xdr:colOff>219075</xdr:colOff>
      <xdr:row>306</xdr:row>
      <xdr:rowOff>66675</xdr:rowOff>
    </xdr:from>
    <xdr:ext cx="542925" cy="514350"/>
    <xdr:sp macro="" textlink="">
      <xdr:nvSpPr>
        <xdr:cNvPr id="71" name="Shape 3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14</xdr:col>
      <xdr:colOff>323850</xdr:colOff>
      <xdr:row>352</xdr:row>
      <xdr:rowOff>504825</xdr:rowOff>
    </xdr:from>
    <xdr:ext cx="542925" cy="514350"/>
    <xdr:sp macro="" textlink="">
      <xdr:nvSpPr>
        <xdr:cNvPr id="72" name="Shape 7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15</xdr:col>
      <xdr:colOff>581025</xdr:colOff>
      <xdr:row>350</xdr:row>
      <xdr:rowOff>95250</xdr:rowOff>
    </xdr:from>
    <xdr:ext cx="542925" cy="514350"/>
    <xdr:sp macro="" textlink="">
      <xdr:nvSpPr>
        <xdr:cNvPr id="73" name="Shape 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352425</xdr:colOff>
      <xdr:row>350</xdr:row>
      <xdr:rowOff>0</xdr:rowOff>
    </xdr:from>
    <xdr:ext cx="542925" cy="514350"/>
    <xdr:sp macro="" textlink="">
      <xdr:nvSpPr>
        <xdr:cNvPr id="74" name="Shape 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15</xdr:col>
      <xdr:colOff>142875</xdr:colOff>
      <xdr:row>350</xdr:row>
      <xdr:rowOff>0</xdr:rowOff>
    </xdr:from>
    <xdr:ext cx="542925" cy="514350"/>
    <xdr:sp macro="" textlink="">
      <xdr:nvSpPr>
        <xdr:cNvPr id="75" name="Shape 3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14</xdr:col>
      <xdr:colOff>571500</xdr:colOff>
      <xdr:row>351</xdr:row>
      <xdr:rowOff>85725</xdr:rowOff>
    </xdr:from>
    <xdr:ext cx="542925" cy="514350"/>
    <xdr:sp macro="" textlink="">
      <xdr:nvSpPr>
        <xdr:cNvPr id="76" name="Shape 3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39</xdr:row>
      <xdr:rowOff>0</xdr:rowOff>
    </xdr:from>
    <xdr:ext cx="2409825" cy="190500"/>
    <xdr:sp macro="" textlink="">
      <xdr:nvSpPr>
        <xdr:cNvPr id="77" name="Shape 9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39</xdr:row>
      <xdr:rowOff>0</xdr:rowOff>
    </xdr:from>
    <xdr:ext cx="2409825" cy="190500"/>
    <xdr:sp macro="" textlink="">
      <xdr:nvSpPr>
        <xdr:cNvPr id="78" name="Shape 9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39</xdr:row>
      <xdr:rowOff>0</xdr:rowOff>
    </xdr:from>
    <xdr:ext cx="2409825" cy="190500"/>
    <xdr:sp macro="" textlink="">
      <xdr:nvSpPr>
        <xdr:cNvPr id="79" name="Shape 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39</xdr:row>
      <xdr:rowOff>0</xdr:rowOff>
    </xdr:from>
    <xdr:ext cx="904875" cy="266700"/>
    <xdr:sp macro="" textlink="">
      <xdr:nvSpPr>
        <xdr:cNvPr id="80" name="Shape 1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39</xdr:row>
      <xdr:rowOff>0</xdr:rowOff>
    </xdr:from>
    <xdr:ext cx="2409825" cy="190500"/>
    <xdr:sp macro="" textlink="">
      <xdr:nvSpPr>
        <xdr:cNvPr id="81" name="Shape 9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39</xdr:row>
      <xdr:rowOff>0</xdr:rowOff>
    </xdr:from>
    <xdr:ext cx="904875" cy="266700"/>
    <xdr:sp macro="" textlink="">
      <xdr:nvSpPr>
        <xdr:cNvPr id="82" name="Shape 10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39</xdr:row>
      <xdr:rowOff>0</xdr:rowOff>
    </xdr:from>
    <xdr:ext cx="2409825" cy="190500"/>
    <xdr:sp macro="" textlink="">
      <xdr:nvSpPr>
        <xdr:cNvPr id="83" name="Shape 9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39</xdr:row>
      <xdr:rowOff>0</xdr:rowOff>
    </xdr:from>
    <xdr:ext cx="904875" cy="266700"/>
    <xdr:sp macro="" textlink="">
      <xdr:nvSpPr>
        <xdr:cNvPr id="84" name="Shape 10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39</xdr:row>
      <xdr:rowOff>0</xdr:rowOff>
    </xdr:from>
    <xdr:ext cx="2409825" cy="190500"/>
    <xdr:sp macro="" textlink="">
      <xdr:nvSpPr>
        <xdr:cNvPr id="85" name="Shape 9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39</xdr:row>
      <xdr:rowOff>0</xdr:rowOff>
    </xdr:from>
    <xdr:ext cx="904875" cy="266700"/>
    <xdr:sp macro="" textlink="">
      <xdr:nvSpPr>
        <xdr:cNvPr id="86" name="Shape 10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39</xdr:row>
      <xdr:rowOff>0</xdr:rowOff>
    </xdr:from>
    <xdr:ext cx="2409825" cy="190500"/>
    <xdr:sp macro="" textlink="">
      <xdr:nvSpPr>
        <xdr:cNvPr id="87" name="Shape 9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84</xdr:row>
      <xdr:rowOff>0</xdr:rowOff>
    </xdr:from>
    <xdr:ext cx="2409825" cy="190500"/>
    <xdr:sp macro="" textlink="">
      <xdr:nvSpPr>
        <xdr:cNvPr id="88" name="Shape 1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84</xdr:row>
      <xdr:rowOff>0</xdr:rowOff>
    </xdr:from>
    <xdr:ext cx="2409825" cy="190500"/>
    <xdr:sp macro="" textlink="">
      <xdr:nvSpPr>
        <xdr:cNvPr id="89" name="Shape 11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84</xdr:row>
      <xdr:rowOff>0</xdr:rowOff>
    </xdr:from>
    <xdr:ext cx="2409825" cy="190500"/>
    <xdr:sp macro="" textlink="">
      <xdr:nvSpPr>
        <xdr:cNvPr id="90" name="Shape 11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84</xdr:row>
      <xdr:rowOff>0</xdr:rowOff>
    </xdr:from>
    <xdr:ext cx="904875" cy="266700"/>
    <xdr:sp macro="" textlink="">
      <xdr:nvSpPr>
        <xdr:cNvPr id="91" name="Shape 12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84</xdr:row>
      <xdr:rowOff>0</xdr:rowOff>
    </xdr:from>
    <xdr:ext cx="2409825" cy="190500"/>
    <xdr:sp macro="" textlink="">
      <xdr:nvSpPr>
        <xdr:cNvPr id="92" name="Shape 1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84</xdr:row>
      <xdr:rowOff>0</xdr:rowOff>
    </xdr:from>
    <xdr:ext cx="904875" cy="266700"/>
    <xdr:sp macro="" textlink="">
      <xdr:nvSpPr>
        <xdr:cNvPr id="93" name="Shape 1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84</xdr:row>
      <xdr:rowOff>0</xdr:rowOff>
    </xdr:from>
    <xdr:ext cx="2409825" cy="190500"/>
    <xdr:sp macro="" textlink="">
      <xdr:nvSpPr>
        <xdr:cNvPr id="94" name="Shape 11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84</xdr:row>
      <xdr:rowOff>0</xdr:rowOff>
    </xdr:from>
    <xdr:ext cx="904875" cy="266700"/>
    <xdr:sp macro="" textlink="">
      <xdr:nvSpPr>
        <xdr:cNvPr id="95" name="Shape 12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84</xdr:row>
      <xdr:rowOff>0</xdr:rowOff>
    </xdr:from>
    <xdr:ext cx="2409825" cy="190500"/>
    <xdr:sp macro="" textlink="">
      <xdr:nvSpPr>
        <xdr:cNvPr id="96" name="Shape 11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84</xdr:row>
      <xdr:rowOff>0</xdr:rowOff>
    </xdr:from>
    <xdr:ext cx="904875" cy="266700"/>
    <xdr:sp macro="" textlink="">
      <xdr:nvSpPr>
        <xdr:cNvPr id="97" name="Shape 12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84</xdr:row>
      <xdr:rowOff>0</xdr:rowOff>
    </xdr:from>
    <xdr:ext cx="2409825" cy="190500"/>
    <xdr:sp macro="" textlink="">
      <xdr:nvSpPr>
        <xdr:cNvPr id="98" name="Shape 11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84</xdr:row>
      <xdr:rowOff>0</xdr:rowOff>
    </xdr:from>
    <xdr:ext cx="2409825" cy="190500"/>
    <xdr:sp macro="" textlink="">
      <xdr:nvSpPr>
        <xdr:cNvPr id="99" name="Shape 11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84</xdr:row>
      <xdr:rowOff>0</xdr:rowOff>
    </xdr:from>
    <xdr:ext cx="2409825" cy="190500"/>
    <xdr:sp macro="" textlink="">
      <xdr:nvSpPr>
        <xdr:cNvPr id="100" name="Shape 11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84</xdr:row>
      <xdr:rowOff>0</xdr:rowOff>
    </xdr:from>
    <xdr:ext cx="2409825" cy="190500"/>
    <xdr:sp macro="" textlink="">
      <xdr:nvSpPr>
        <xdr:cNvPr id="101" name="Shape 1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84</xdr:row>
      <xdr:rowOff>0</xdr:rowOff>
    </xdr:from>
    <xdr:ext cx="904875" cy="266700"/>
    <xdr:sp macro="" textlink="">
      <xdr:nvSpPr>
        <xdr:cNvPr id="102" name="Shape 1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84</xdr:row>
      <xdr:rowOff>0</xdr:rowOff>
    </xdr:from>
    <xdr:ext cx="2409825" cy="190500"/>
    <xdr:sp macro="" textlink="">
      <xdr:nvSpPr>
        <xdr:cNvPr id="103" name="Shape 11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84</xdr:row>
      <xdr:rowOff>0</xdr:rowOff>
    </xdr:from>
    <xdr:ext cx="904875" cy="266700"/>
    <xdr:sp macro="" textlink="">
      <xdr:nvSpPr>
        <xdr:cNvPr id="104" name="Shape 12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84</xdr:row>
      <xdr:rowOff>0</xdr:rowOff>
    </xdr:from>
    <xdr:ext cx="2409825" cy="190500"/>
    <xdr:sp macro="" textlink="">
      <xdr:nvSpPr>
        <xdr:cNvPr id="105" name="Shape 11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84</xdr:row>
      <xdr:rowOff>0</xdr:rowOff>
    </xdr:from>
    <xdr:ext cx="904875" cy="266700"/>
    <xdr:sp macro="" textlink="">
      <xdr:nvSpPr>
        <xdr:cNvPr id="106" name="Shape 12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84</xdr:row>
      <xdr:rowOff>0</xdr:rowOff>
    </xdr:from>
    <xdr:ext cx="2409825" cy="190500"/>
    <xdr:sp macro="" textlink="">
      <xdr:nvSpPr>
        <xdr:cNvPr id="107" name="Shape 11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84</xdr:row>
      <xdr:rowOff>0</xdr:rowOff>
    </xdr:from>
    <xdr:ext cx="904875" cy="266700"/>
    <xdr:sp macro="" textlink="">
      <xdr:nvSpPr>
        <xdr:cNvPr id="108" name="Shape 12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84</xdr:row>
      <xdr:rowOff>0</xdr:rowOff>
    </xdr:from>
    <xdr:ext cx="2409825" cy="190500"/>
    <xdr:sp macro="" textlink="">
      <xdr:nvSpPr>
        <xdr:cNvPr id="109" name="Shape 11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129</xdr:row>
      <xdr:rowOff>0</xdr:rowOff>
    </xdr:from>
    <xdr:ext cx="2409825" cy="190500"/>
    <xdr:sp macro="" textlink="">
      <xdr:nvSpPr>
        <xdr:cNvPr id="110" name="Shape 13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129</xdr:row>
      <xdr:rowOff>0</xdr:rowOff>
    </xdr:from>
    <xdr:ext cx="2409825" cy="190500"/>
    <xdr:sp macro="" textlink="">
      <xdr:nvSpPr>
        <xdr:cNvPr id="111" name="Shape 13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129</xdr:row>
      <xdr:rowOff>0</xdr:rowOff>
    </xdr:from>
    <xdr:ext cx="2409825" cy="190500"/>
    <xdr:sp macro="" textlink="">
      <xdr:nvSpPr>
        <xdr:cNvPr id="112" name="Shape 13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129</xdr:row>
      <xdr:rowOff>0</xdr:rowOff>
    </xdr:from>
    <xdr:ext cx="904875" cy="266700"/>
    <xdr:sp macro="" textlink="">
      <xdr:nvSpPr>
        <xdr:cNvPr id="113" name="Shape 1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129</xdr:row>
      <xdr:rowOff>0</xdr:rowOff>
    </xdr:from>
    <xdr:ext cx="2409825" cy="190500"/>
    <xdr:sp macro="" textlink="">
      <xdr:nvSpPr>
        <xdr:cNvPr id="114" name="Shape 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129</xdr:row>
      <xdr:rowOff>0</xdr:rowOff>
    </xdr:from>
    <xdr:ext cx="904875" cy="266700"/>
    <xdr:sp macro="" textlink="">
      <xdr:nvSpPr>
        <xdr:cNvPr id="115" name="Shape 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129</xdr:row>
      <xdr:rowOff>0</xdr:rowOff>
    </xdr:from>
    <xdr:ext cx="2409825" cy="190500"/>
    <xdr:sp macro="" textlink="">
      <xdr:nvSpPr>
        <xdr:cNvPr id="116" name="Shape 13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129</xdr:row>
      <xdr:rowOff>0</xdr:rowOff>
    </xdr:from>
    <xdr:ext cx="904875" cy="266700"/>
    <xdr:sp macro="" textlink="">
      <xdr:nvSpPr>
        <xdr:cNvPr id="117" name="Shape 14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129</xdr:row>
      <xdr:rowOff>0</xdr:rowOff>
    </xdr:from>
    <xdr:ext cx="2409825" cy="190500"/>
    <xdr:sp macro="" textlink="">
      <xdr:nvSpPr>
        <xdr:cNvPr id="118" name="Shape 13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129</xdr:row>
      <xdr:rowOff>0</xdr:rowOff>
    </xdr:from>
    <xdr:ext cx="904875" cy="266700"/>
    <xdr:sp macro="" textlink="">
      <xdr:nvSpPr>
        <xdr:cNvPr id="119" name="Shape 14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129</xdr:row>
      <xdr:rowOff>0</xdr:rowOff>
    </xdr:from>
    <xdr:ext cx="2409825" cy="190500"/>
    <xdr:sp macro="" textlink="">
      <xdr:nvSpPr>
        <xdr:cNvPr id="120" name="Shape 13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129</xdr:row>
      <xdr:rowOff>0</xdr:rowOff>
    </xdr:from>
    <xdr:ext cx="2409825" cy="190500"/>
    <xdr:sp macro="" textlink="">
      <xdr:nvSpPr>
        <xdr:cNvPr id="121" name="Shape 13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129</xdr:row>
      <xdr:rowOff>0</xdr:rowOff>
    </xdr:from>
    <xdr:ext cx="2409825" cy="190500"/>
    <xdr:sp macro="" textlink="">
      <xdr:nvSpPr>
        <xdr:cNvPr id="122" name="Shape 13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129</xdr:row>
      <xdr:rowOff>0</xdr:rowOff>
    </xdr:from>
    <xdr:ext cx="2409825" cy="190500"/>
    <xdr:sp macro="" textlink="">
      <xdr:nvSpPr>
        <xdr:cNvPr id="123" name="Shape 13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129</xdr:row>
      <xdr:rowOff>0</xdr:rowOff>
    </xdr:from>
    <xdr:ext cx="904875" cy="266700"/>
    <xdr:sp macro="" textlink="">
      <xdr:nvSpPr>
        <xdr:cNvPr id="124" name="Shape 1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129</xdr:row>
      <xdr:rowOff>0</xdr:rowOff>
    </xdr:from>
    <xdr:ext cx="2409825" cy="190500"/>
    <xdr:sp macro="" textlink="">
      <xdr:nvSpPr>
        <xdr:cNvPr id="125" name="Shape 13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129</xdr:row>
      <xdr:rowOff>0</xdr:rowOff>
    </xdr:from>
    <xdr:ext cx="904875" cy="266700"/>
    <xdr:sp macro="" textlink="">
      <xdr:nvSpPr>
        <xdr:cNvPr id="126" name="Shape 14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129</xdr:row>
      <xdr:rowOff>0</xdr:rowOff>
    </xdr:from>
    <xdr:ext cx="2409825" cy="190500"/>
    <xdr:sp macro="" textlink="">
      <xdr:nvSpPr>
        <xdr:cNvPr id="127" name="Shape 13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129</xdr:row>
      <xdr:rowOff>0</xdr:rowOff>
    </xdr:from>
    <xdr:ext cx="904875" cy="266700"/>
    <xdr:sp macro="" textlink="">
      <xdr:nvSpPr>
        <xdr:cNvPr id="128" name="Shape 14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129</xdr:row>
      <xdr:rowOff>0</xdr:rowOff>
    </xdr:from>
    <xdr:ext cx="2409825" cy="190500"/>
    <xdr:sp macro="" textlink="">
      <xdr:nvSpPr>
        <xdr:cNvPr id="129" name="Shape 13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129</xdr:row>
      <xdr:rowOff>0</xdr:rowOff>
    </xdr:from>
    <xdr:ext cx="904875" cy="266700"/>
    <xdr:sp macro="" textlink="">
      <xdr:nvSpPr>
        <xdr:cNvPr id="130" name="Shape 14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129</xdr:row>
      <xdr:rowOff>0</xdr:rowOff>
    </xdr:from>
    <xdr:ext cx="2409825" cy="190500"/>
    <xdr:sp macro="" textlink="">
      <xdr:nvSpPr>
        <xdr:cNvPr id="131" name="Shape 13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174</xdr:row>
      <xdr:rowOff>0</xdr:rowOff>
    </xdr:from>
    <xdr:ext cx="2409825" cy="190500"/>
    <xdr:sp macro="" textlink="">
      <xdr:nvSpPr>
        <xdr:cNvPr id="132" name="Shape 13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174</xdr:row>
      <xdr:rowOff>0</xdr:rowOff>
    </xdr:from>
    <xdr:ext cx="2409825" cy="190500"/>
    <xdr:sp macro="" textlink="">
      <xdr:nvSpPr>
        <xdr:cNvPr id="133" name="Shape 1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174</xdr:row>
      <xdr:rowOff>0</xdr:rowOff>
    </xdr:from>
    <xdr:ext cx="2409825" cy="190500"/>
    <xdr:sp macro="" textlink="">
      <xdr:nvSpPr>
        <xdr:cNvPr id="134" name="Shape 1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174</xdr:row>
      <xdr:rowOff>0</xdr:rowOff>
    </xdr:from>
    <xdr:ext cx="904875" cy="266700"/>
    <xdr:sp macro="" textlink="">
      <xdr:nvSpPr>
        <xdr:cNvPr id="135" name="Shape 1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174</xdr:row>
      <xdr:rowOff>0</xdr:rowOff>
    </xdr:from>
    <xdr:ext cx="2409825" cy="190500"/>
    <xdr:sp macro="" textlink="">
      <xdr:nvSpPr>
        <xdr:cNvPr id="136" name="Shape 13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174</xdr:row>
      <xdr:rowOff>0</xdr:rowOff>
    </xdr:from>
    <xdr:ext cx="904875" cy="266700"/>
    <xdr:sp macro="" textlink="">
      <xdr:nvSpPr>
        <xdr:cNvPr id="137" name="Shape 14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174</xdr:row>
      <xdr:rowOff>0</xdr:rowOff>
    </xdr:from>
    <xdr:ext cx="2409825" cy="190500"/>
    <xdr:sp macro="" textlink="">
      <xdr:nvSpPr>
        <xdr:cNvPr id="138" name="Shape 13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174</xdr:row>
      <xdr:rowOff>0</xdr:rowOff>
    </xdr:from>
    <xdr:ext cx="904875" cy="266700"/>
    <xdr:sp macro="" textlink="">
      <xdr:nvSpPr>
        <xdr:cNvPr id="139" name="Shape 14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174</xdr:row>
      <xdr:rowOff>0</xdr:rowOff>
    </xdr:from>
    <xdr:ext cx="2409825" cy="190500"/>
    <xdr:sp macro="" textlink="">
      <xdr:nvSpPr>
        <xdr:cNvPr id="140" name="Shape 13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174</xdr:row>
      <xdr:rowOff>0</xdr:rowOff>
    </xdr:from>
    <xdr:ext cx="904875" cy="266700"/>
    <xdr:sp macro="" textlink="">
      <xdr:nvSpPr>
        <xdr:cNvPr id="141" name="Shape 14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174</xdr:row>
      <xdr:rowOff>0</xdr:rowOff>
    </xdr:from>
    <xdr:ext cx="2409825" cy="190500"/>
    <xdr:sp macro="" textlink="">
      <xdr:nvSpPr>
        <xdr:cNvPr id="142" name="Shape 13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174</xdr:row>
      <xdr:rowOff>0</xdr:rowOff>
    </xdr:from>
    <xdr:ext cx="2409825" cy="190500"/>
    <xdr:sp macro="" textlink="">
      <xdr:nvSpPr>
        <xdr:cNvPr id="143" name="Shape 13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174</xdr:row>
      <xdr:rowOff>0</xdr:rowOff>
    </xdr:from>
    <xdr:ext cx="2409825" cy="190500"/>
    <xdr:sp macro="" textlink="">
      <xdr:nvSpPr>
        <xdr:cNvPr id="144" name="Shape 1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174</xdr:row>
      <xdr:rowOff>0</xdr:rowOff>
    </xdr:from>
    <xdr:ext cx="2409825" cy="190500"/>
    <xdr:sp macro="" textlink="">
      <xdr:nvSpPr>
        <xdr:cNvPr id="145" name="Shape 13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174</xdr:row>
      <xdr:rowOff>0</xdr:rowOff>
    </xdr:from>
    <xdr:ext cx="904875" cy="266700"/>
    <xdr:sp macro="" textlink="">
      <xdr:nvSpPr>
        <xdr:cNvPr id="146" name="Shape 14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174</xdr:row>
      <xdr:rowOff>0</xdr:rowOff>
    </xdr:from>
    <xdr:ext cx="2409825" cy="190500"/>
    <xdr:sp macro="" textlink="">
      <xdr:nvSpPr>
        <xdr:cNvPr id="147" name="Shape 13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174</xdr:row>
      <xdr:rowOff>0</xdr:rowOff>
    </xdr:from>
    <xdr:ext cx="904875" cy="266700"/>
    <xdr:sp macro="" textlink="">
      <xdr:nvSpPr>
        <xdr:cNvPr id="148" name="Shape 14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174</xdr:row>
      <xdr:rowOff>0</xdr:rowOff>
    </xdr:from>
    <xdr:ext cx="2409825" cy="190500"/>
    <xdr:sp macro="" textlink="">
      <xdr:nvSpPr>
        <xdr:cNvPr id="149" name="Shape 13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174</xdr:row>
      <xdr:rowOff>0</xdr:rowOff>
    </xdr:from>
    <xdr:ext cx="904875" cy="266700"/>
    <xdr:sp macro="" textlink="">
      <xdr:nvSpPr>
        <xdr:cNvPr id="150" name="Shape 14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174</xdr:row>
      <xdr:rowOff>0</xdr:rowOff>
    </xdr:from>
    <xdr:ext cx="2409825" cy="190500"/>
    <xdr:sp macro="" textlink="">
      <xdr:nvSpPr>
        <xdr:cNvPr id="151" name="Shape 13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174</xdr:row>
      <xdr:rowOff>0</xdr:rowOff>
    </xdr:from>
    <xdr:ext cx="904875" cy="266700"/>
    <xdr:sp macro="" textlink="">
      <xdr:nvSpPr>
        <xdr:cNvPr id="152" name="Shape 14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174</xdr:row>
      <xdr:rowOff>0</xdr:rowOff>
    </xdr:from>
    <xdr:ext cx="2409825" cy="190500"/>
    <xdr:sp macro="" textlink="">
      <xdr:nvSpPr>
        <xdr:cNvPr id="153" name="Shape 13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219</xdr:row>
      <xdr:rowOff>0</xdr:rowOff>
    </xdr:from>
    <xdr:ext cx="2409825" cy="190500"/>
    <xdr:sp macro="" textlink="">
      <xdr:nvSpPr>
        <xdr:cNvPr id="154" name="Shape 1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219</xdr:row>
      <xdr:rowOff>0</xdr:rowOff>
    </xdr:from>
    <xdr:ext cx="2409825" cy="190500"/>
    <xdr:sp macro="" textlink="">
      <xdr:nvSpPr>
        <xdr:cNvPr id="155" name="Shape 13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219</xdr:row>
      <xdr:rowOff>0</xdr:rowOff>
    </xdr:from>
    <xdr:ext cx="2409825" cy="190500"/>
    <xdr:sp macro="" textlink="">
      <xdr:nvSpPr>
        <xdr:cNvPr id="156" name="Shape 13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219</xdr:row>
      <xdr:rowOff>0</xdr:rowOff>
    </xdr:from>
    <xdr:ext cx="904875" cy="266700"/>
    <xdr:sp macro="" textlink="">
      <xdr:nvSpPr>
        <xdr:cNvPr id="157" name="Shape 14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219</xdr:row>
      <xdr:rowOff>0</xdr:rowOff>
    </xdr:from>
    <xdr:ext cx="2409825" cy="190500"/>
    <xdr:sp macro="" textlink="">
      <xdr:nvSpPr>
        <xdr:cNvPr id="158" name="Shape 13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219</xdr:row>
      <xdr:rowOff>0</xdr:rowOff>
    </xdr:from>
    <xdr:ext cx="904875" cy="266700"/>
    <xdr:sp macro="" textlink="">
      <xdr:nvSpPr>
        <xdr:cNvPr id="159" name="Shape 14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219</xdr:row>
      <xdr:rowOff>0</xdr:rowOff>
    </xdr:from>
    <xdr:ext cx="2409825" cy="190500"/>
    <xdr:sp macro="" textlink="">
      <xdr:nvSpPr>
        <xdr:cNvPr id="160" name="Shape 13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219</xdr:row>
      <xdr:rowOff>0</xdr:rowOff>
    </xdr:from>
    <xdr:ext cx="904875" cy="266700"/>
    <xdr:sp macro="" textlink="">
      <xdr:nvSpPr>
        <xdr:cNvPr id="161" name="Shape 14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219</xdr:row>
      <xdr:rowOff>0</xdr:rowOff>
    </xdr:from>
    <xdr:ext cx="2409825" cy="190500"/>
    <xdr:sp macro="" textlink="">
      <xdr:nvSpPr>
        <xdr:cNvPr id="162" name="Shape 13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219</xdr:row>
      <xdr:rowOff>0</xdr:rowOff>
    </xdr:from>
    <xdr:ext cx="904875" cy="266700"/>
    <xdr:sp macro="" textlink="">
      <xdr:nvSpPr>
        <xdr:cNvPr id="163" name="Shape 14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219</xdr:row>
      <xdr:rowOff>0</xdr:rowOff>
    </xdr:from>
    <xdr:ext cx="2409825" cy="190500"/>
    <xdr:sp macro="" textlink="">
      <xdr:nvSpPr>
        <xdr:cNvPr id="164" name="Shape 1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219</xdr:row>
      <xdr:rowOff>0</xdr:rowOff>
    </xdr:from>
    <xdr:ext cx="2409825" cy="190500"/>
    <xdr:sp macro="" textlink="">
      <xdr:nvSpPr>
        <xdr:cNvPr id="165" name="Shape 13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219</xdr:row>
      <xdr:rowOff>0</xdr:rowOff>
    </xdr:from>
    <xdr:ext cx="2409825" cy="190500"/>
    <xdr:sp macro="" textlink="">
      <xdr:nvSpPr>
        <xdr:cNvPr id="166" name="Shape 13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219</xdr:row>
      <xdr:rowOff>0</xdr:rowOff>
    </xdr:from>
    <xdr:ext cx="2409825" cy="190500"/>
    <xdr:sp macro="" textlink="">
      <xdr:nvSpPr>
        <xdr:cNvPr id="167" name="Shape 13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219</xdr:row>
      <xdr:rowOff>0</xdr:rowOff>
    </xdr:from>
    <xdr:ext cx="904875" cy="266700"/>
    <xdr:sp macro="" textlink="">
      <xdr:nvSpPr>
        <xdr:cNvPr id="168" name="Shape 14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219</xdr:row>
      <xdr:rowOff>0</xdr:rowOff>
    </xdr:from>
    <xdr:ext cx="2409825" cy="190500"/>
    <xdr:sp macro="" textlink="">
      <xdr:nvSpPr>
        <xdr:cNvPr id="169" name="Shape 13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219</xdr:row>
      <xdr:rowOff>0</xdr:rowOff>
    </xdr:from>
    <xdr:ext cx="904875" cy="266700"/>
    <xdr:sp macro="" textlink="">
      <xdr:nvSpPr>
        <xdr:cNvPr id="170" name="Shape 14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219</xdr:row>
      <xdr:rowOff>0</xdr:rowOff>
    </xdr:from>
    <xdr:ext cx="2409825" cy="190500"/>
    <xdr:sp macro="" textlink="">
      <xdr:nvSpPr>
        <xdr:cNvPr id="171" name="Shape 13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219</xdr:row>
      <xdr:rowOff>0</xdr:rowOff>
    </xdr:from>
    <xdr:ext cx="904875" cy="266700"/>
    <xdr:sp macro="" textlink="">
      <xdr:nvSpPr>
        <xdr:cNvPr id="172" name="Shape 14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219</xdr:row>
      <xdr:rowOff>0</xdr:rowOff>
    </xdr:from>
    <xdr:ext cx="2409825" cy="190500"/>
    <xdr:sp macro="" textlink="">
      <xdr:nvSpPr>
        <xdr:cNvPr id="173" name="Shape 13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219</xdr:row>
      <xdr:rowOff>0</xdr:rowOff>
    </xdr:from>
    <xdr:ext cx="904875" cy="266700"/>
    <xdr:sp macro="" textlink="">
      <xdr:nvSpPr>
        <xdr:cNvPr id="174" name="Shape 14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219</xdr:row>
      <xdr:rowOff>0</xdr:rowOff>
    </xdr:from>
    <xdr:ext cx="2409825" cy="190500"/>
    <xdr:sp macro="" textlink="">
      <xdr:nvSpPr>
        <xdr:cNvPr id="175" name="Shape 13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264</xdr:row>
      <xdr:rowOff>0</xdr:rowOff>
    </xdr:from>
    <xdr:ext cx="2409825" cy="190500"/>
    <xdr:sp macro="" textlink="">
      <xdr:nvSpPr>
        <xdr:cNvPr id="176" name="Shape 1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264</xdr:row>
      <xdr:rowOff>0</xdr:rowOff>
    </xdr:from>
    <xdr:ext cx="2409825" cy="190500"/>
    <xdr:sp macro="" textlink="">
      <xdr:nvSpPr>
        <xdr:cNvPr id="177" name="Shape 15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264</xdr:row>
      <xdr:rowOff>0</xdr:rowOff>
    </xdr:from>
    <xdr:ext cx="2409825" cy="190500"/>
    <xdr:sp macro="" textlink="">
      <xdr:nvSpPr>
        <xdr:cNvPr id="178" name="Shape 15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264</xdr:row>
      <xdr:rowOff>0</xdr:rowOff>
    </xdr:from>
    <xdr:ext cx="904875" cy="266700"/>
    <xdr:sp macro="" textlink="">
      <xdr:nvSpPr>
        <xdr:cNvPr id="179" name="Shape 16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264</xdr:row>
      <xdr:rowOff>0</xdr:rowOff>
    </xdr:from>
    <xdr:ext cx="2409825" cy="190500"/>
    <xdr:sp macro="" textlink="">
      <xdr:nvSpPr>
        <xdr:cNvPr id="180" name="Shape 15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264</xdr:row>
      <xdr:rowOff>0</xdr:rowOff>
    </xdr:from>
    <xdr:ext cx="904875" cy="266700"/>
    <xdr:sp macro="" textlink="">
      <xdr:nvSpPr>
        <xdr:cNvPr id="181" name="Shape 16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264</xdr:row>
      <xdr:rowOff>0</xdr:rowOff>
    </xdr:from>
    <xdr:ext cx="2409825" cy="190500"/>
    <xdr:sp macro="" textlink="">
      <xdr:nvSpPr>
        <xdr:cNvPr id="182" name="Shape 15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264</xdr:row>
      <xdr:rowOff>0</xdr:rowOff>
    </xdr:from>
    <xdr:ext cx="904875" cy="266700"/>
    <xdr:sp macro="" textlink="">
      <xdr:nvSpPr>
        <xdr:cNvPr id="183" name="Shape 16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264</xdr:row>
      <xdr:rowOff>0</xdr:rowOff>
    </xdr:from>
    <xdr:ext cx="2409825" cy="190500"/>
    <xdr:sp macro="" textlink="">
      <xdr:nvSpPr>
        <xdr:cNvPr id="184" name="Shape 15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264</xdr:row>
      <xdr:rowOff>0</xdr:rowOff>
    </xdr:from>
    <xdr:ext cx="904875" cy="266700"/>
    <xdr:sp macro="" textlink="">
      <xdr:nvSpPr>
        <xdr:cNvPr id="185" name="Shape 16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264</xdr:row>
      <xdr:rowOff>0</xdr:rowOff>
    </xdr:from>
    <xdr:ext cx="2409825" cy="190500"/>
    <xdr:sp macro="" textlink="">
      <xdr:nvSpPr>
        <xdr:cNvPr id="186" name="Shape 1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264</xdr:row>
      <xdr:rowOff>0</xdr:rowOff>
    </xdr:from>
    <xdr:ext cx="2409825" cy="190500"/>
    <xdr:sp macro="" textlink="">
      <xdr:nvSpPr>
        <xdr:cNvPr id="187" name="Shape 15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264</xdr:row>
      <xdr:rowOff>0</xdr:rowOff>
    </xdr:from>
    <xdr:ext cx="2409825" cy="190500"/>
    <xdr:sp macro="" textlink="">
      <xdr:nvSpPr>
        <xdr:cNvPr id="188" name="Shape 15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264</xdr:row>
      <xdr:rowOff>0</xdr:rowOff>
    </xdr:from>
    <xdr:ext cx="2409825" cy="190500"/>
    <xdr:sp macro="" textlink="">
      <xdr:nvSpPr>
        <xdr:cNvPr id="189" name="Shape 15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264</xdr:row>
      <xdr:rowOff>0</xdr:rowOff>
    </xdr:from>
    <xdr:ext cx="904875" cy="266700"/>
    <xdr:sp macro="" textlink="">
      <xdr:nvSpPr>
        <xdr:cNvPr id="190" name="Shape 16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264</xdr:row>
      <xdr:rowOff>0</xdr:rowOff>
    </xdr:from>
    <xdr:ext cx="2409825" cy="190500"/>
    <xdr:sp macro="" textlink="">
      <xdr:nvSpPr>
        <xdr:cNvPr id="191" name="Shape 15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264</xdr:row>
      <xdr:rowOff>0</xdr:rowOff>
    </xdr:from>
    <xdr:ext cx="904875" cy="266700"/>
    <xdr:sp macro="" textlink="">
      <xdr:nvSpPr>
        <xdr:cNvPr id="192" name="Shape 16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264</xdr:row>
      <xdr:rowOff>0</xdr:rowOff>
    </xdr:from>
    <xdr:ext cx="2409825" cy="190500"/>
    <xdr:sp macro="" textlink="">
      <xdr:nvSpPr>
        <xdr:cNvPr id="193" name="Shape 15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264</xdr:row>
      <xdr:rowOff>0</xdr:rowOff>
    </xdr:from>
    <xdr:ext cx="904875" cy="266700"/>
    <xdr:sp macro="" textlink="">
      <xdr:nvSpPr>
        <xdr:cNvPr id="194" name="Shape 16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264</xdr:row>
      <xdr:rowOff>0</xdr:rowOff>
    </xdr:from>
    <xdr:ext cx="2409825" cy="190500"/>
    <xdr:sp macro="" textlink="">
      <xdr:nvSpPr>
        <xdr:cNvPr id="195" name="Shape 15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264</xdr:row>
      <xdr:rowOff>0</xdr:rowOff>
    </xdr:from>
    <xdr:ext cx="904875" cy="266700"/>
    <xdr:sp macro="" textlink="">
      <xdr:nvSpPr>
        <xdr:cNvPr id="196" name="Shape 16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264</xdr:row>
      <xdr:rowOff>0</xdr:rowOff>
    </xdr:from>
    <xdr:ext cx="2409825" cy="190500"/>
    <xdr:sp macro="" textlink="">
      <xdr:nvSpPr>
        <xdr:cNvPr id="197" name="Shape 15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309</xdr:row>
      <xdr:rowOff>0</xdr:rowOff>
    </xdr:from>
    <xdr:ext cx="2409825" cy="190500"/>
    <xdr:sp macro="" textlink="">
      <xdr:nvSpPr>
        <xdr:cNvPr id="198" name="Shape 15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309</xdr:row>
      <xdr:rowOff>0</xdr:rowOff>
    </xdr:from>
    <xdr:ext cx="2409825" cy="190500"/>
    <xdr:sp macro="" textlink="">
      <xdr:nvSpPr>
        <xdr:cNvPr id="199" name="Shape 15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309</xdr:row>
      <xdr:rowOff>0</xdr:rowOff>
    </xdr:from>
    <xdr:ext cx="2409825" cy="190500"/>
    <xdr:sp macro="" textlink="">
      <xdr:nvSpPr>
        <xdr:cNvPr id="200" name="Shape 15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309</xdr:row>
      <xdr:rowOff>0</xdr:rowOff>
    </xdr:from>
    <xdr:ext cx="904875" cy="266700"/>
    <xdr:sp macro="" textlink="">
      <xdr:nvSpPr>
        <xdr:cNvPr id="201" name="Shape 16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309</xdr:row>
      <xdr:rowOff>0</xdr:rowOff>
    </xdr:from>
    <xdr:ext cx="2409825" cy="190500"/>
    <xdr:sp macro="" textlink="">
      <xdr:nvSpPr>
        <xdr:cNvPr id="202" name="Shape 15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309</xdr:row>
      <xdr:rowOff>0</xdr:rowOff>
    </xdr:from>
    <xdr:ext cx="904875" cy="266700"/>
    <xdr:sp macro="" textlink="">
      <xdr:nvSpPr>
        <xdr:cNvPr id="203" name="Shape 16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309</xdr:row>
      <xdr:rowOff>0</xdr:rowOff>
    </xdr:from>
    <xdr:ext cx="2409825" cy="190500"/>
    <xdr:sp macro="" textlink="">
      <xdr:nvSpPr>
        <xdr:cNvPr id="204" name="Shape 15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309</xdr:row>
      <xdr:rowOff>0</xdr:rowOff>
    </xdr:from>
    <xdr:ext cx="904875" cy="266700"/>
    <xdr:sp macro="" textlink="">
      <xdr:nvSpPr>
        <xdr:cNvPr id="205" name="Shape 16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309</xdr:row>
      <xdr:rowOff>0</xdr:rowOff>
    </xdr:from>
    <xdr:ext cx="2409825" cy="190500"/>
    <xdr:sp macro="" textlink="">
      <xdr:nvSpPr>
        <xdr:cNvPr id="206" name="Shape 1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309</xdr:row>
      <xdr:rowOff>0</xdr:rowOff>
    </xdr:from>
    <xdr:ext cx="904875" cy="266700"/>
    <xdr:sp macro="" textlink="">
      <xdr:nvSpPr>
        <xdr:cNvPr id="207" name="Shape 1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309</xdr:row>
      <xdr:rowOff>0</xdr:rowOff>
    </xdr:from>
    <xdr:ext cx="2409825" cy="190500"/>
    <xdr:sp macro="" textlink="">
      <xdr:nvSpPr>
        <xdr:cNvPr id="208" name="Shape 15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309</xdr:row>
      <xdr:rowOff>0</xdr:rowOff>
    </xdr:from>
    <xdr:ext cx="2409825" cy="190500"/>
    <xdr:sp macro="" textlink="">
      <xdr:nvSpPr>
        <xdr:cNvPr id="209" name="Shape 15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309</xdr:row>
      <xdr:rowOff>0</xdr:rowOff>
    </xdr:from>
    <xdr:ext cx="2409825" cy="190500"/>
    <xdr:sp macro="" textlink="">
      <xdr:nvSpPr>
        <xdr:cNvPr id="210" name="Shape 15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309</xdr:row>
      <xdr:rowOff>0</xdr:rowOff>
    </xdr:from>
    <xdr:ext cx="2409825" cy="190500"/>
    <xdr:sp macro="" textlink="">
      <xdr:nvSpPr>
        <xdr:cNvPr id="211" name="Shape 15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309</xdr:row>
      <xdr:rowOff>0</xdr:rowOff>
    </xdr:from>
    <xdr:ext cx="904875" cy="266700"/>
    <xdr:sp macro="" textlink="">
      <xdr:nvSpPr>
        <xdr:cNvPr id="212" name="Shape 16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309</xdr:row>
      <xdr:rowOff>0</xdr:rowOff>
    </xdr:from>
    <xdr:ext cx="2409825" cy="190500"/>
    <xdr:sp macro="" textlink="">
      <xdr:nvSpPr>
        <xdr:cNvPr id="213" name="Shape 15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309</xdr:row>
      <xdr:rowOff>0</xdr:rowOff>
    </xdr:from>
    <xdr:ext cx="904875" cy="266700"/>
    <xdr:sp macro="" textlink="">
      <xdr:nvSpPr>
        <xdr:cNvPr id="214" name="Shape 16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309</xdr:row>
      <xdr:rowOff>0</xdr:rowOff>
    </xdr:from>
    <xdr:ext cx="2409825" cy="190500"/>
    <xdr:sp macro="" textlink="">
      <xdr:nvSpPr>
        <xdr:cNvPr id="215" name="Shape 15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309</xdr:row>
      <xdr:rowOff>0</xdr:rowOff>
    </xdr:from>
    <xdr:ext cx="904875" cy="266700"/>
    <xdr:sp macro="" textlink="">
      <xdr:nvSpPr>
        <xdr:cNvPr id="216" name="Shape 16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309</xdr:row>
      <xdr:rowOff>0</xdr:rowOff>
    </xdr:from>
    <xdr:ext cx="2409825" cy="190500"/>
    <xdr:sp macro="" textlink="">
      <xdr:nvSpPr>
        <xdr:cNvPr id="217" name="Shape 15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309</xdr:row>
      <xdr:rowOff>0</xdr:rowOff>
    </xdr:from>
    <xdr:ext cx="904875" cy="266700"/>
    <xdr:sp macro="" textlink="">
      <xdr:nvSpPr>
        <xdr:cNvPr id="218" name="Shape 16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309</xdr:row>
      <xdr:rowOff>0</xdr:rowOff>
    </xdr:from>
    <xdr:ext cx="2409825" cy="190500"/>
    <xdr:sp macro="" textlink="">
      <xdr:nvSpPr>
        <xdr:cNvPr id="219" name="Shape 15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354</xdr:row>
      <xdr:rowOff>0</xdr:rowOff>
    </xdr:from>
    <xdr:ext cx="2409825" cy="190500"/>
    <xdr:sp macro="" textlink="">
      <xdr:nvSpPr>
        <xdr:cNvPr id="220" name="Shape 15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354</xdr:row>
      <xdr:rowOff>0</xdr:rowOff>
    </xdr:from>
    <xdr:ext cx="2409825" cy="190500"/>
    <xdr:sp macro="" textlink="">
      <xdr:nvSpPr>
        <xdr:cNvPr id="221" name="Shape 15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354</xdr:row>
      <xdr:rowOff>0</xdr:rowOff>
    </xdr:from>
    <xdr:ext cx="2409825" cy="190500"/>
    <xdr:sp macro="" textlink="">
      <xdr:nvSpPr>
        <xdr:cNvPr id="222" name="Shape 15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354</xdr:row>
      <xdr:rowOff>0</xdr:rowOff>
    </xdr:from>
    <xdr:ext cx="904875" cy="266700"/>
    <xdr:sp macro="" textlink="">
      <xdr:nvSpPr>
        <xdr:cNvPr id="223" name="Shape 16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354</xdr:row>
      <xdr:rowOff>0</xdr:rowOff>
    </xdr:from>
    <xdr:ext cx="2409825" cy="190500"/>
    <xdr:sp macro="" textlink="">
      <xdr:nvSpPr>
        <xdr:cNvPr id="224" name="Shape 15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354</xdr:row>
      <xdr:rowOff>0</xdr:rowOff>
    </xdr:from>
    <xdr:ext cx="904875" cy="266700"/>
    <xdr:sp macro="" textlink="">
      <xdr:nvSpPr>
        <xdr:cNvPr id="225" name="Shape 16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354</xdr:row>
      <xdr:rowOff>0</xdr:rowOff>
    </xdr:from>
    <xdr:ext cx="2409825" cy="190500"/>
    <xdr:sp macro="" textlink="">
      <xdr:nvSpPr>
        <xdr:cNvPr id="226" name="Shape 1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354</xdr:row>
      <xdr:rowOff>0</xdr:rowOff>
    </xdr:from>
    <xdr:ext cx="904875" cy="266700"/>
    <xdr:sp macro="" textlink="">
      <xdr:nvSpPr>
        <xdr:cNvPr id="227" name="Shape 1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354</xdr:row>
      <xdr:rowOff>0</xdr:rowOff>
    </xdr:from>
    <xdr:ext cx="2409825" cy="190500"/>
    <xdr:sp macro="" textlink="">
      <xdr:nvSpPr>
        <xdr:cNvPr id="228" name="Shape 15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354</xdr:row>
      <xdr:rowOff>0</xdr:rowOff>
    </xdr:from>
    <xdr:ext cx="904875" cy="266700"/>
    <xdr:sp macro="" textlink="">
      <xdr:nvSpPr>
        <xdr:cNvPr id="229" name="Shape 16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354</xdr:row>
      <xdr:rowOff>0</xdr:rowOff>
    </xdr:from>
    <xdr:ext cx="2409825" cy="190500"/>
    <xdr:sp macro="" textlink="">
      <xdr:nvSpPr>
        <xdr:cNvPr id="230" name="Shape 15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354</xdr:row>
      <xdr:rowOff>0</xdr:rowOff>
    </xdr:from>
    <xdr:ext cx="2409825" cy="190500"/>
    <xdr:sp macro="" textlink="">
      <xdr:nvSpPr>
        <xdr:cNvPr id="231" name="Shape 15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354</xdr:row>
      <xdr:rowOff>0</xdr:rowOff>
    </xdr:from>
    <xdr:ext cx="2409825" cy="190500"/>
    <xdr:sp macro="" textlink="">
      <xdr:nvSpPr>
        <xdr:cNvPr id="232" name="Shape 15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354</xdr:row>
      <xdr:rowOff>0</xdr:rowOff>
    </xdr:from>
    <xdr:ext cx="2409825" cy="190500"/>
    <xdr:sp macro="" textlink="">
      <xdr:nvSpPr>
        <xdr:cNvPr id="233" name="Shape 15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354</xdr:row>
      <xdr:rowOff>0</xdr:rowOff>
    </xdr:from>
    <xdr:ext cx="904875" cy="266700"/>
    <xdr:sp macro="" textlink="">
      <xdr:nvSpPr>
        <xdr:cNvPr id="234" name="Shape 16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354</xdr:row>
      <xdr:rowOff>0</xdr:rowOff>
    </xdr:from>
    <xdr:ext cx="2409825" cy="190500"/>
    <xdr:sp macro="" textlink="">
      <xdr:nvSpPr>
        <xdr:cNvPr id="235" name="Shape 15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354</xdr:row>
      <xdr:rowOff>0</xdr:rowOff>
    </xdr:from>
    <xdr:ext cx="904875" cy="266700"/>
    <xdr:sp macro="" textlink="">
      <xdr:nvSpPr>
        <xdr:cNvPr id="236" name="Shape 16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354</xdr:row>
      <xdr:rowOff>0</xdr:rowOff>
    </xdr:from>
    <xdr:ext cx="2409825" cy="190500"/>
    <xdr:sp macro="" textlink="">
      <xdr:nvSpPr>
        <xdr:cNvPr id="237" name="Shape 15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354</xdr:row>
      <xdr:rowOff>0</xdr:rowOff>
    </xdr:from>
    <xdr:ext cx="904875" cy="266700"/>
    <xdr:sp macro="" textlink="">
      <xdr:nvSpPr>
        <xdr:cNvPr id="238" name="Shape 16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354</xdr:row>
      <xdr:rowOff>0</xdr:rowOff>
    </xdr:from>
    <xdr:ext cx="2409825" cy="190500"/>
    <xdr:sp macro="" textlink="">
      <xdr:nvSpPr>
        <xdr:cNvPr id="239" name="Shape 15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354</xdr:row>
      <xdr:rowOff>0</xdr:rowOff>
    </xdr:from>
    <xdr:ext cx="904875" cy="266700"/>
    <xdr:sp macro="" textlink="">
      <xdr:nvSpPr>
        <xdr:cNvPr id="240" name="Shape 16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354</xdr:row>
      <xdr:rowOff>0</xdr:rowOff>
    </xdr:from>
    <xdr:ext cx="2409825" cy="190500"/>
    <xdr:sp macro="" textlink="">
      <xdr:nvSpPr>
        <xdr:cNvPr id="241" name="Shape 15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428625</xdr:colOff>
      <xdr:row>40</xdr:row>
      <xdr:rowOff>47625</xdr:rowOff>
    </xdr:from>
    <xdr:ext cx="542925" cy="5143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14</xdr:col>
      <xdr:colOff>114300</xdr:colOff>
      <xdr:row>39</xdr:row>
      <xdr:rowOff>485775</xdr:rowOff>
    </xdr:from>
    <xdr:ext cx="542925" cy="5143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15</xdr:col>
      <xdr:colOff>352425</xdr:colOff>
      <xdr:row>38</xdr:row>
      <xdr:rowOff>142875</xdr:rowOff>
    </xdr:from>
    <xdr:ext cx="542925" cy="51435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257175</xdr:colOff>
      <xdr:row>39</xdr:row>
      <xdr:rowOff>581025</xdr:rowOff>
    </xdr:from>
    <xdr:ext cx="542925" cy="51435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14</xdr:col>
      <xdr:colOff>228600</xdr:colOff>
      <xdr:row>40</xdr:row>
      <xdr:rowOff>247650</xdr:rowOff>
    </xdr:from>
    <xdr:ext cx="542925" cy="51435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238125</xdr:colOff>
      <xdr:row>78</xdr:row>
      <xdr:rowOff>47625</xdr:rowOff>
    </xdr:from>
    <xdr:ext cx="542925" cy="51435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504825</xdr:colOff>
      <xdr:row>78</xdr:row>
      <xdr:rowOff>200025</xdr:rowOff>
    </xdr:from>
    <xdr:ext cx="542925" cy="51435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14</xdr:col>
      <xdr:colOff>85725</xdr:colOff>
      <xdr:row>79</xdr:row>
      <xdr:rowOff>114300</xdr:rowOff>
    </xdr:from>
    <xdr:ext cx="542925" cy="51435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552450</xdr:colOff>
      <xdr:row>80</xdr:row>
      <xdr:rowOff>76200</xdr:rowOff>
    </xdr:from>
    <xdr:ext cx="542925" cy="514350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476250</xdr:colOff>
      <xdr:row>82</xdr:row>
      <xdr:rowOff>171450</xdr:rowOff>
    </xdr:from>
    <xdr:ext cx="542925" cy="514350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171450</xdr:colOff>
      <xdr:row>144</xdr:row>
      <xdr:rowOff>190500</xdr:rowOff>
    </xdr:from>
    <xdr:ext cx="542925" cy="51435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14</xdr:col>
      <xdr:colOff>19050</xdr:colOff>
      <xdr:row>140</xdr:row>
      <xdr:rowOff>47625</xdr:rowOff>
    </xdr:from>
    <xdr:ext cx="542925" cy="51435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409575</xdr:colOff>
      <xdr:row>134</xdr:row>
      <xdr:rowOff>0</xdr:rowOff>
    </xdr:from>
    <xdr:ext cx="542925" cy="514350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15</xdr:col>
      <xdr:colOff>180975</xdr:colOff>
      <xdr:row>135</xdr:row>
      <xdr:rowOff>219075</xdr:rowOff>
    </xdr:from>
    <xdr:ext cx="542925" cy="514350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12</xdr:col>
      <xdr:colOff>438150</xdr:colOff>
      <xdr:row>134</xdr:row>
      <xdr:rowOff>247650</xdr:rowOff>
    </xdr:from>
    <xdr:ext cx="542925" cy="514350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21</xdr:col>
      <xdr:colOff>428625</xdr:colOff>
      <xdr:row>177</xdr:row>
      <xdr:rowOff>628650</xdr:rowOff>
    </xdr:from>
    <xdr:ext cx="542925" cy="514350"/>
    <xdr:sp macro="" textlink="">
      <xdr:nvSpPr>
        <xdr:cNvPr id="17" name="Shape 4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23</xdr:col>
      <xdr:colOff>361950</xdr:colOff>
      <xdr:row>177</xdr:row>
      <xdr:rowOff>438150</xdr:rowOff>
    </xdr:from>
    <xdr:ext cx="542925" cy="514350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22</xdr:col>
      <xdr:colOff>361950</xdr:colOff>
      <xdr:row>177</xdr:row>
      <xdr:rowOff>600075</xdr:rowOff>
    </xdr:from>
    <xdr:ext cx="542925" cy="514350"/>
    <xdr:sp macro="" textlink="">
      <xdr:nvSpPr>
        <xdr:cNvPr id="19" name="Shape 4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17</xdr:col>
      <xdr:colOff>457200</xdr:colOff>
      <xdr:row>177</xdr:row>
      <xdr:rowOff>552450</xdr:rowOff>
    </xdr:from>
    <xdr:ext cx="542925" cy="514350"/>
    <xdr:sp macro="" textlink="">
      <xdr:nvSpPr>
        <xdr:cNvPr id="20" name="Shape 4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25</xdr:col>
      <xdr:colOff>142875</xdr:colOff>
      <xdr:row>178</xdr:row>
      <xdr:rowOff>180975</xdr:rowOff>
    </xdr:from>
    <xdr:ext cx="542925" cy="514350"/>
    <xdr:sp macro="" textlink="">
      <xdr:nvSpPr>
        <xdr:cNvPr id="21" name="Shape 3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14</xdr:col>
      <xdr:colOff>428625</xdr:colOff>
      <xdr:row>225</xdr:row>
      <xdr:rowOff>9525</xdr:rowOff>
    </xdr:from>
    <xdr:ext cx="542925" cy="514350"/>
    <xdr:sp macro="" textlink="">
      <xdr:nvSpPr>
        <xdr:cNvPr id="22" name="Shape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238125</xdr:colOff>
      <xdr:row>224</xdr:row>
      <xdr:rowOff>628650</xdr:rowOff>
    </xdr:from>
    <xdr:ext cx="542925" cy="514350"/>
    <xdr:sp macro="" textlink="">
      <xdr:nvSpPr>
        <xdr:cNvPr id="23" name="Shape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542925</xdr:colOff>
      <xdr:row>227</xdr:row>
      <xdr:rowOff>152400</xdr:rowOff>
    </xdr:from>
    <xdr:ext cx="542925" cy="514350"/>
    <xdr:sp macro="" textlink="">
      <xdr:nvSpPr>
        <xdr:cNvPr id="24" name="Shape 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17</xdr:col>
      <xdr:colOff>142875</xdr:colOff>
      <xdr:row>227</xdr:row>
      <xdr:rowOff>228600</xdr:rowOff>
    </xdr:from>
    <xdr:ext cx="542925" cy="514350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57150</xdr:colOff>
      <xdr:row>224</xdr:row>
      <xdr:rowOff>457200</xdr:rowOff>
    </xdr:from>
    <xdr:ext cx="542925" cy="514350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15</xdr:col>
      <xdr:colOff>161925</xdr:colOff>
      <xdr:row>270</xdr:row>
      <xdr:rowOff>95250</xdr:rowOff>
    </xdr:from>
    <xdr:ext cx="542925" cy="514350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571500</xdr:colOff>
      <xdr:row>270</xdr:row>
      <xdr:rowOff>295275</xdr:rowOff>
    </xdr:from>
    <xdr:ext cx="542925" cy="514350"/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209550</xdr:colOff>
      <xdr:row>269</xdr:row>
      <xdr:rowOff>352425</xdr:rowOff>
    </xdr:from>
    <xdr:ext cx="542925" cy="514350"/>
    <xdr:sp macro="" textlink="">
      <xdr:nvSpPr>
        <xdr:cNvPr id="29" name="Shape 3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142875</xdr:colOff>
      <xdr:row>268</xdr:row>
      <xdr:rowOff>276225</xdr:rowOff>
    </xdr:from>
    <xdr:ext cx="542925" cy="514350"/>
    <xdr:sp macro="" textlink="">
      <xdr:nvSpPr>
        <xdr:cNvPr id="30" name="Shape 3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219075</xdr:colOff>
      <xdr:row>269</xdr:row>
      <xdr:rowOff>171450</xdr:rowOff>
    </xdr:from>
    <xdr:ext cx="542925" cy="514350"/>
    <xdr:sp macro="" textlink="">
      <xdr:nvSpPr>
        <xdr:cNvPr id="31" name="Shape 3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14</xdr:col>
      <xdr:colOff>371475</xdr:colOff>
      <xdr:row>313</xdr:row>
      <xdr:rowOff>485775</xdr:rowOff>
    </xdr:from>
    <xdr:ext cx="542925" cy="514350"/>
    <xdr:sp macro="" textlink="">
      <xdr:nvSpPr>
        <xdr:cNvPr id="32" name="Shape 3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19</xdr:col>
      <xdr:colOff>209550</xdr:colOff>
      <xdr:row>313</xdr:row>
      <xdr:rowOff>66675</xdr:rowOff>
    </xdr:from>
    <xdr:ext cx="542925" cy="514350"/>
    <xdr:sp macro="" textlink="">
      <xdr:nvSpPr>
        <xdr:cNvPr id="33" name="Shape 4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18</xdr:col>
      <xdr:colOff>495300</xdr:colOff>
      <xdr:row>315</xdr:row>
      <xdr:rowOff>371475</xdr:rowOff>
    </xdr:from>
    <xdr:ext cx="542925" cy="514350"/>
    <xdr:sp macro="" textlink="">
      <xdr:nvSpPr>
        <xdr:cNvPr id="34" name="Shape 4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390525</xdr:colOff>
      <xdr:row>312</xdr:row>
      <xdr:rowOff>190500</xdr:rowOff>
    </xdr:from>
    <xdr:ext cx="542925" cy="514350"/>
    <xdr:sp macro="" textlink="">
      <xdr:nvSpPr>
        <xdr:cNvPr id="35" name="Shape 3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66675</xdr:colOff>
      <xdr:row>312</xdr:row>
      <xdr:rowOff>66675</xdr:rowOff>
    </xdr:from>
    <xdr:ext cx="542925" cy="514350"/>
    <xdr:sp macro="" textlink="">
      <xdr:nvSpPr>
        <xdr:cNvPr id="36" name="Shape 3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57150</xdr:colOff>
      <xdr:row>361</xdr:row>
      <xdr:rowOff>38100</xdr:rowOff>
    </xdr:from>
    <xdr:ext cx="542925" cy="514350"/>
    <xdr:sp macro="" textlink="">
      <xdr:nvSpPr>
        <xdr:cNvPr id="37" name="Shape 17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371475</xdr:colOff>
      <xdr:row>365</xdr:row>
      <xdr:rowOff>476250</xdr:rowOff>
    </xdr:from>
    <xdr:ext cx="542925" cy="514350"/>
    <xdr:sp macro="" textlink="">
      <xdr:nvSpPr>
        <xdr:cNvPr id="38" name="Shape 3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15</xdr:col>
      <xdr:colOff>581025</xdr:colOff>
      <xdr:row>360</xdr:row>
      <xdr:rowOff>0</xdr:rowOff>
    </xdr:from>
    <xdr:ext cx="542925" cy="514350"/>
    <xdr:sp macro="" textlink="">
      <xdr:nvSpPr>
        <xdr:cNvPr id="39" name="Shape 3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504825</xdr:colOff>
      <xdr:row>364</xdr:row>
      <xdr:rowOff>228600</xdr:rowOff>
    </xdr:from>
    <xdr:ext cx="542925" cy="514350"/>
    <xdr:sp macro="" textlink="">
      <xdr:nvSpPr>
        <xdr:cNvPr id="40" name="Shape 3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18</xdr:col>
      <xdr:colOff>190500</xdr:colOff>
      <xdr:row>363</xdr:row>
      <xdr:rowOff>628650</xdr:rowOff>
    </xdr:from>
    <xdr:ext cx="542925" cy="514350"/>
    <xdr:sp macro="" textlink="">
      <xdr:nvSpPr>
        <xdr:cNvPr id="41" name="Shape 4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342900</xdr:colOff>
      <xdr:row>83</xdr:row>
      <xdr:rowOff>19050</xdr:rowOff>
    </xdr:from>
    <xdr:ext cx="542925" cy="514350"/>
    <xdr:sp macro="" textlink="">
      <xdr:nvSpPr>
        <xdr:cNvPr id="42" name="Shape 3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19050</xdr:colOff>
      <xdr:row>79</xdr:row>
      <xdr:rowOff>85725</xdr:rowOff>
    </xdr:from>
    <xdr:ext cx="542925" cy="514350"/>
    <xdr:sp macro="" textlink="">
      <xdr:nvSpPr>
        <xdr:cNvPr id="43" name="Shape 3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14</xdr:col>
      <xdr:colOff>428625</xdr:colOff>
      <xdr:row>82</xdr:row>
      <xdr:rowOff>161925</xdr:rowOff>
    </xdr:from>
    <xdr:ext cx="542925" cy="514350"/>
    <xdr:sp macro="" textlink="">
      <xdr:nvSpPr>
        <xdr:cNvPr id="44" name="Shape 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15</xdr:col>
      <xdr:colOff>400050</xdr:colOff>
      <xdr:row>86</xdr:row>
      <xdr:rowOff>190500</xdr:rowOff>
    </xdr:from>
    <xdr:ext cx="542925" cy="514350"/>
    <xdr:sp macro="" textlink="">
      <xdr:nvSpPr>
        <xdr:cNvPr id="45" name="Shape 3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12</xdr:col>
      <xdr:colOff>314325</xdr:colOff>
      <xdr:row>83</xdr:row>
      <xdr:rowOff>228600</xdr:rowOff>
    </xdr:from>
    <xdr:ext cx="542925" cy="514350"/>
    <xdr:sp macro="" textlink="">
      <xdr:nvSpPr>
        <xdr:cNvPr id="46" name="Shape 3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266700</xdr:colOff>
      <xdr:row>142</xdr:row>
      <xdr:rowOff>19050</xdr:rowOff>
    </xdr:from>
    <xdr:ext cx="542925" cy="514350"/>
    <xdr:sp macro="" textlink="">
      <xdr:nvSpPr>
        <xdr:cNvPr id="47" name="Shape 3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15</xdr:col>
      <xdr:colOff>85725</xdr:colOff>
      <xdr:row>138</xdr:row>
      <xdr:rowOff>276225</xdr:rowOff>
    </xdr:from>
    <xdr:ext cx="542925" cy="514350"/>
    <xdr:sp macro="" textlink="">
      <xdr:nvSpPr>
        <xdr:cNvPr id="48" name="Shape 3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14</xdr:col>
      <xdr:colOff>409575</xdr:colOff>
      <xdr:row>131</xdr:row>
      <xdr:rowOff>247650</xdr:rowOff>
    </xdr:from>
    <xdr:ext cx="542925" cy="514350"/>
    <xdr:sp macro="" textlink="">
      <xdr:nvSpPr>
        <xdr:cNvPr id="49" name="Shape 3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14</xdr:col>
      <xdr:colOff>381000</xdr:colOff>
      <xdr:row>134</xdr:row>
      <xdr:rowOff>247650</xdr:rowOff>
    </xdr:from>
    <xdr:ext cx="542925" cy="514350"/>
    <xdr:sp macro="" textlink="">
      <xdr:nvSpPr>
        <xdr:cNvPr id="50" name="Shape 3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11</xdr:col>
      <xdr:colOff>342900</xdr:colOff>
      <xdr:row>131</xdr:row>
      <xdr:rowOff>142875</xdr:rowOff>
    </xdr:from>
    <xdr:ext cx="542925" cy="514350"/>
    <xdr:sp macro="" textlink="">
      <xdr:nvSpPr>
        <xdr:cNvPr id="51" name="Shape 3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22</xdr:col>
      <xdr:colOff>333375</xdr:colOff>
      <xdr:row>178</xdr:row>
      <xdr:rowOff>295275</xdr:rowOff>
    </xdr:from>
    <xdr:ext cx="542925" cy="514350"/>
    <xdr:sp macro="" textlink="">
      <xdr:nvSpPr>
        <xdr:cNvPr id="52" name="Shape 3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22</xdr:col>
      <xdr:colOff>266700</xdr:colOff>
      <xdr:row>179</xdr:row>
      <xdr:rowOff>133350</xdr:rowOff>
    </xdr:from>
    <xdr:ext cx="542925" cy="514350"/>
    <xdr:sp macro="" textlink="">
      <xdr:nvSpPr>
        <xdr:cNvPr id="53" name="Shape 3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20</xdr:col>
      <xdr:colOff>428625</xdr:colOff>
      <xdr:row>179</xdr:row>
      <xdr:rowOff>152400</xdr:rowOff>
    </xdr:from>
    <xdr:ext cx="542925" cy="514350"/>
    <xdr:sp macro="" textlink="">
      <xdr:nvSpPr>
        <xdr:cNvPr id="54" name="Shape 4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18</xdr:col>
      <xdr:colOff>495300</xdr:colOff>
      <xdr:row>179</xdr:row>
      <xdr:rowOff>323850</xdr:rowOff>
    </xdr:from>
    <xdr:ext cx="542925" cy="514350"/>
    <xdr:sp macro="" textlink="">
      <xdr:nvSpPr>
        <xdr:cNvPr id="55" name="Shape 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19</xdr:col>
      <xdr:colOff>95250</xdr:colOff>
      <xdr:row>179</xdr:row>
      <xdr:rowOff>247650</xdr:rowOff>
    </xdr:from>
    <xdr:ext cx="542925" cy="514350"/>
    <xdr:sp macro="" textlink="">
      <xdr:nvSpPr>
        <xdr:cNvPr id="56" name="Shape 3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15</xdr:col>
      <xdr:colOff>390525</xdr:colOff>
      <xdr:row>225</xdr:row>
      <xdr:rowOff>342900</xdr:rowOff>
    </xdr:from>
    <xdr:ext cx="542925" cy="514350"/>
    <xdr:sp macro="" textlink="">
      <xdr:nvSpPr>
        <xdr:cNvPr id="57" name="Shape 3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18</xdr:col>
      <xdr:colOff>314325</xdr:colOff>
      <xdr:row>224</xdr:row>
      <xdr:rowOff>447675</xdr:rowOff>
    </xdr:from>
    <xdr:ext cx="542925" cy="514350"/>
    <xdr:sp macro="" textlink="">
      <xdr:nvSpPr>
        <xdr:cNvPr id="58" name="Shape 3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17</xdr:col>
      <xdr:colOff>542925</xdr:colOff>
      <xdr:row>225</xdr:row>
      <xdr:rowOff>457200</xdr:rowOff>
    </xdr:from>
    <xdr:ext cx="542925" cy="514350"/>
    <xdr:sp macro="" textlink="">
      <xdr:nvSpPr>
        <xdr:cNvPr id="59" name="Shape 4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38100</xdr:colOff>
      <xdr:row>225</xdr:row>
      <xdr:rowOff>66675</xdr:rowOff>
    </xdr:from>
    <xdr:ext cx="542925" cy="514350"/>
    <xdr:sp macro="" textlink="">
      <xdr:nvSpPr>
        <xdr:cNvPr id="60" name="Shape 3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476250</xdr:colOff>
      <xdr:row>225</xdr:row>
      <xdr:rowOff>19050</xdr:rowOff>
    </xdr:from>
    <xdr:ext cx="542925" cy="514350"/>
    <xdr:sp macro="" textlink="">
      <xdr:nvSpPr>
        <xdr:cNvPr id="61" name="Shape 3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15</xdr:col>
      <xdr:colOff>28575</xdr:colOff>
      <xdr:row>269</xdr:row>
      <xdr:rowOff>428625</xdr:rowOff>
    </xdr:from>
    <xdr:ext cx="542925" cy="514350"/>
    <xdr:sp macro="" textlink="">
      <xdr:nvSpPr>
        <xdr:cNvPr id="62" name="Shape 3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390525</xdr:colOff>
      <xdr:row>269</xdr:row>
      <xdr:rowOff>304800</xdr:rowOff>
    </xdr:from>
    <xdr:ext cx="542925" cy="514350"/>
    <xdr:sp macro="" textlink="">
      <xdr:nvSpPr>
        <xdr:cNvPr id="63" name="Shape 3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114300</xdr:colOff>
      <xdr:row>269</xdr:row>
      <xdr:rowOff>609600</xdr:rowOff>
    </xdr:from>
    <xdr:ext cx="542925" cy="514350"/>
    <xdr:sp macro="" textlink="">
      <xdr:nvSpPr>
        <xdr:cNvPr id="64" name="Shape 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24</xdr:col>
      <xdr:colOff>581025</xdr:colOff>
      <xdr:row>269</xdr:row>
      <xdr:rowOff>590550</xdr:rowOff>
    </xdr:from>
    <xdr:ext cx="542925" cy="514350"/>
    <xdr:sp macro="" textlink="">
      <xdr:nvSpPr>
        <xdr:cNvPr id="65" name="Shape 3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15</xdr:col>
      <xdr:colOff>371475</xdr:colOff>
      <xdr:row>268</xdr:row>
      <xdr:rowOff>190500</xdr:rowOff>
    </xdr:from>
    <xdr:ext cx="542925" cy="514350"/>
    <xdr:sp macro="" textlink="">
      <xdr:nvSpPr>
        <xdr:cNvPr id="66" name="Shape 3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552450</xdr:colOff>
      <xdr:row>312</xdr:row>
      <xdr:rowOff>400050</xdr:rowOff>
    </xdr:from>
    <xdr:ext cx="542925" cy="514350"/>
    <xdr:sp macro="" textlink="">
      <xdr:nvSpPr>
        <xdr:cNvPr id="67" name="Shape 3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400050</xdr:colOff>
      <xdr:row>313</xdr:row>
      <xdr:rowOff>142875</xdr:rowOff>
    </xdr:from>
    <xdr:ext cx="542925" cy="514350"/>
    <xdr:sp macro="" textlink="">
      <xdr:nvSpPr>
        <xdr:cNvPr id="68" name="Shape 3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15</xdr:col>
      <xdr:colOff>0</xdr:colOff>
      <xdr:row>312</xdr:row>
      <xdr:rowOff>447675</xdr:rowOff>
    </xdr:from>
    <xdr:ext cx="542925" cy="514350"/>
    <xdr:sp macro="" textlink="">
      <xdr:nvSpPr>
        <xdr:cNvPr id="69" name="Shape 3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14</xdr:col>
      <xdr:colOff>238125</xdr:colOff>
      <xdr:row>315</xdr:row>
      <xdr:rowOff>247650</xdr:rowOff>
    </xdr:from>
    <xdr:ext cx="542925" cy="514350"/>
    <xdr:sp macro="" textlink="">
      <xdr:nvSpPr>
        <xdr:cNvPr id="70" name="Shape 3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15</xdr:col>
      <xdr:colOff>219075</xdr:colOff>
      <xdr:row>315</xdr:row>
      <xdr:rowOff>66675</xdr:rowOff>
    </xdr:from>
    <xdr:ext cx="542925" cy="514350"/>
    <xdr:sp macro="" textlink="">
      <xdr:nvSpPr>
        <xdr:cNvPr id="71" name="Shape 3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14</xdr:col>
      <xdr:colOff>323850</xdr:colOff>
      <xdr:row>362</xdr:row>
      <xdr:rowOff>504825</xdr:rowOff>
    </xdr:from>
    <xdr:ext cx="542925" cy="514350"/>
    <xdr:sp macro="" textlink="">
      <xdr:nvSpPr>
        <xdr:cNvPr id="72" name="Shape 3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15</xdr:col>
      <xdr:colOff>581025</xdr:colOff>
      <xdr:row>360</xdr:row>
      <xdr:rowOff>95250</xdr:rowOff>
    </xdr:from>
    <xdr:ext cx="542925" cy="514350"/>
    <xdr:sp macro="" textlink="">
      <xdr:nvSpPr>
        <xdr:cNvPr id="73" name="Shape 3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352425</xdr:colOff>
      <xdr:row>359</xdr:row>
      <xdr:rowOff>638175</xdr:rowOff>
    </xdr:from>
    <xdr:ext cx="542925" cy="514350"/>
    <xdr:sp macro="" textlink="">
      <xdr:nvSpPr>
        <xdr:cNvPr id="74" name="Shape 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15</xdr:col>
      <xdr:colOff>142875</xdr:colOff>
      <xdr:row>359</xdr:row>
      <xdr:rowOff>295275</xdr:rowOff>
    </xdr:from>
    <xdr:ext cx="542925" cy="514350"/>
    <xdr:sp macro="" textlink="">
      <xdr:nvSpPr>
        <xdr:cNvPr id="75" name="Shape 3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14</xdr:col>
      <xdr:colOff>571500</xdr:colOff>
      <xdr:row>361</xdr:row>
      <xdr:rowOff>85725</xdr:rowOff>
    </xdr:from>
    <xdr:ext cx="542925" cy="514350"/>
    <xdr:sp macro="" textlink="">
      <xdr:nvSpPr>
        <xdr:cNvPr id="76" name="Shape 3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 txBox="1"/>
      </xdr:nvSpPr>
      <xdr:spPr>
        <a:xfrm>
          <a:off x="5079300" y="3526000"/>
          <a:ext cx="533401" cy="508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80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42</xdr:row>
      <xdr:rowOff>0</xdr:rowOff>
    </xdr:from>
    <xdr:ext cx="2409825" cy="190500"/>
    <xdr:sp macro="" textlink="">
      <xdr:nvSpPr>
        <xdr:cNvPr id="77" name="Shape 11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42</xdr:row>
      <xdr:rowOff>0</xdr:rowOff>
    </xdr:from>
    <xdr:ext cx="2409825" cy="190500"/>
    <xdr:sp macro="" textlink="">
      <xdr:nvSpPr>
        <xdr:cNvPr id="78" name="Shape 11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42</xdr:row>
      <xdr:rowOff>0</xdr:rowOff>
    </xdr:from>
    <xdr:ext cx="2409825" cy="190500"/>
    <xdr:sp macro="" textlink="">
      <xdr:nvSpPr>
        <xdr:cNvPr id="79" name="Shape 11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42</xdr:row>
      <xdr:rowOff>0</xdr:rowOff>
    </xdr:from>
    <xdr:ext cx="904875" cy="266700"/>
    <xdr:sp macro="" textlink="">
      <xdr:nvSpPr>
        <xdr:cNvPr id="80" name="Shape 12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42</xdr:row>
      <xdr:rowOff>0</xdr:rowOff>
    </xdr:from>
    <xdr:ext cx="2409825" cy="190500"/>
    <xdr:sp macro="" textlink="">
      <xdr:nvSpPr>
        <xdr:cNvPr id="81" name="Shape 11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42</xdr:row>
      <xdr:rowOff>0</xdr:rowOff>
    </xdr:from>
    <xdr:ext cx="904875" cy="266700"/>
    <xdr:sp macro="" textlink="">
      <xdr:nvSpPr>
        <xdr:cNvPr id="82" name="Shape 12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42</xdr:row>
      <xdr:rowOff>0</xdr:rowOff>
    </xdr:from>
    <xdr:ext cx="2409825" cy="190500"/>
    <xdr:sp macro="" textlink="">
      <xdr:nvSpPr>
        <xdr:cNvPr id="83" name="Shape 11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42</xdr:row>
      <xdr:rowOff>0</xdr:rowOff>
    </xdr:from>
    <xdr:ext cx="904875" cy="266700"/>
    <xdr:sp macro="" textlink="">
      <xdr:nvSpPr>
        <xdr:cNvPr id="84" name="Shape 12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42</xdr:row>
      <xdr:rowOff>0</xdr:rowOff>
    </xdr:from>
    <xdr:ext cx="2409825" cy="190500"/>
    <xdr:sp macro="" textlink="">
      <xdr:nvSpPr>
        <xdr:cNvPr id="85" name="Shape 11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42</xdr:row>
      <xdr:rowOff>0</xdr:rowOff>
    </xdr:from>
    <xdr:ext cx="904875" cy="266700"/>
    <xdr:sp macro="" textlink="">
      <xdr:nvSpPr>
        <xdr:cNvPr id="86" name="Shape 12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17</xdr:col>
      <xdr:colOff>123825</xdr:colOff>
      <xdr:row>39</xdr:row>
      <xdr:rowOff>323850</xdr:rowOff>
    </xdr:from>
    <xdr:ext cx="2409825" cy="190500"/>
    <xdr:sp macro="" textlink="">
      <xdr:nvSpPr>
        <xdr:cNvPr id="87" name="Shape 18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88</xdr:row>
      <xdr:rowOff>0</xdr:rowOff>
    </xdr:from>
    <xdr:ext cx="2409825" cy="190500"/>
    <xdr:sp macro="" textlink="">
      <xdr:nvSpPr>
        <xdr:cNvPr id="88" name="Shape 13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88</xdr:row>
      <xdr:rowOff>0</xdr:rowOff>
    </xdr:from>
    <xdr:ext cx="2409825" cy="190500"/>
    <xdr:sp macro="" textlink="">
      <xdr:nvSpPr>
        <xdr:cNvPr id="89" name="Shape 13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88</xdr:row>
      <xdr:rowOff>0</xdr:rowOff>
    </xdr:from>
    <xdr:ext cx="2409825" cy="190500"/>
    <xdr:sp macro="" textlink="">
      <xdr:nvSpPr>
        <xdr:cNvPr id="90" name="Shape 13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88</xdr:row>
      <xdr:rowOff>0</xdr:rowOff>
    </xdr:from>
    <xdr:ext cx="904875" cy="266700"/>
    <xdr:sp macro="" textlink="">
      <xdr:nvSpPr>
        <xdr:cNvPr id="91" name="Shape 14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88</xdr:row>
      <xdr:rowOff>0</xdr:rowOff>
    </xdr:from>
    <xdr:ext cx="2409825" cy="190500"/>
    <xdr:sp macro="" textlink="">
      <xdr:nvSpPr>
        <xdr:cNvPr id="92" name="Shape 13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88</xdr:row>
      <xdr:rowOff>0</xdr:rowOff>
    </xdr:from>
    <xdr:ext cx="904875" cy="266700"/>
    <xdr:sp macro="" textlink="">
      <xdr:nvSpPr>
        <xdr:cNvPr id="93" name="Shape 14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88</xdr:row>
      <xdr:rowOff>0</xdr:rowOff>
    </xdr:from>
    <xdr:ext cx="2409825" cy="190500"/>
    <xdr:sp macro="" textlink="">
      <xdr:nvSpPr>
        <xdr:cNvPr id="94" name="Shape 1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88</xdr:row>
      <xdr:rowOff>0</xdr:rowOff>
    </xdr:from>
    <xdr:ext cx="904875" cy="266700"/>
    <xdr:sp macro="" textlink="">
      <xdr:nvSpPr>
        <xdr:cNvPr id="95" name="Shape 1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88</xdr:row>
      <xdr:rowOff>0</xdr:rowOff>
    </xdr:from>
    <xdr:ext cx="2409825" cy="190500"/>
    <xdr:sp macro="" textlink="">
      <xdr:nvSpPr>
        <xdr:cNvPr id="96" name="Shape 13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88</xdr:row>
      <xdr:rowOff>0</xdr:rowOff>
    </xdr:from>
    <xdr:ext cx="904875" cy="266700"/>
    <xdr:sp macro="" textlink="">
      <xdr:nvSpPr>
        <xdr:cNvPr id="97" name="Shape 14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88</xdr:row>
      <xdr:rowOff>0</xdr:rowOff>
    </xdr:from>
    <xdr:ext cx="2409825" cy="190500"/>
    <xdr:sp macro="" textlink="">
      <xdr:nvSpPr>
        <xdr:cNvPr id="98" name="Shape 13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88</xdr:row>
      <xdr:rowOff>0</xdr:rowOff>
    </xdr:from>
    <xdr:ext cx="2409825" cy="190500"/>
    <xdr:sp macro="" textlink="">
      <xdr:nvSpPr>
        <xdr:cNvPr id="99" name="Shape 13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88</xdr:row>
      <xdr:rowOff>0</xdr:rowOff>
    </xdr:from>
    <xdr:ext cx="2409825" cy="190500"/>
    <xdr:sp macro="" textlink="">
      <xdr:nvSpPr>
        <xdr:cNvPr id="100" name="Shape 13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88</xdr:row>
      <xdr:rowOff>0</xdr:rowOff>
    </xdr:from>
    <xdr:ext cx="2409825" cy="190500"/>
    <xdr:sp macro="" textlink="">
      <xdr:nvSpPr>
        <xdr:cNvPr id="101" name="Shape 13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88</xdr:row>
      <xdr:rowOff>0</xdr:rowOff>
    </xdr:from>
    <xdr:ext cx="904875" cy="266700"/>
    <xdr:sp macro="" textlink="">
      <xdr:nvSpPr>
        <xdr:cNvPr id="102" name="Shape 14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88</xdr:row>
      <xdr:rowOff>0</xdr:rowOff>
    </xdr:from>
    <xdr:ext cx="2409825" cy="190500"/>
    <xdr:sp macro="" textlink="">
      <xdr:nvSpPr>
        <xdr:cNvPr id="103" name="Shape 13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88</xdr:row>
      <xdr:rowOff>0</xdr:rowOff>
    </xdr:from>
    <xdr:ext cx="904875" cy="266700"/>
    <xdr:sp macro="" textlink="">
      <xdr:nvSpPr>
        <xdr:cNvPr id="104" name="Shape 14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88</xdr:row>
      <xdr:rowOff>0</xdr:rowOff>
    </xdr:from>
    <xdr:ext cx="2409825" cy="190500"/>
    <xdr:sp macro="" textlink="">
      <xdr:nvSpPr>
        <xdr:cNvPr id="105" name="Shape 13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88</xdr:row>
      <xdr:rowOff>0</xdr:rowOff>
    </xdr:from>
    <xdr:ext cx="904875" cy="266700"/>
    <xdr:sp macro="" textlink="">
      <xdr:nvSpPr>
        <xdr:cNvPr id="106" name="Shape 14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88</xdr:row>
      <xdr:rowOff>0</xdr:rowOff>
    </xdr:from>
    <xdr:ext cx="2409825" cy="190500"/>
    <xdr:sp macro="" textlink="">
      <xdr:nvSpPr>
        <xdr:cNvPr id="107" name="Shape 13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88</xdr:row>
      <xdr:rowOff>0</xdr:rowOff>
    </xdr:from>
    <xdr:ext cx="904875" cy="266700"/>
    <xdr:sp macro="" textlink="">
      <xdr:nvSpPr>
        <xdr:cNvPr id="108" name="Shape 14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88</xdr:row>
      <xdr:rowOff>0</xdr:rowOff>
    </xdr:from>
    <xdr:ext cx="2409825" cy="190500"/>
    <xdr:sp macro="" textlink="">
      <xdr:nvSpPr>
        <xdr:cNvPr id="109" name="Shape 13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134</xdr:row>
      <xdr:rowOff>0</xdr:rowOff>
    </xdr:from>
    <xdr:ext cx="2409825" cy="190500"/>
    <xdr:sp macro="" textlink="">
      <xdr:nvSpPr>
        <xdr:cNvPr id="110" name="Shape 15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134</xdr:row>
      <xdr:rowOff>0</xdr:rowOff>
    </xdr:from>
    <xdr:ext cx="2409825" cy="190500"/>
    <xdr:sp macro="" textlink="">
      <xdr:nvSpPr>
        <xdr:cNvPr id="111" name="Shape 15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134</xdr:row>
      <xdr:rowOff>0</xdr:rowOff>
    </xdr:from>
    <xdr:ext cx="2409825" cy="190500"/>
    <xdr:sp macro="" textlink="">
      <xdr:nvSpPr>
        <xdr:cNvPr id="112" name="Shape 15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134</xdr:row>
      <xdr:rowOff>0</xdr:rowOff>
    </xdr:from>
    <xdr:ext cx="904875" cy="266700"/>
    <xdr:sp macro="" textlink="">
      <xdr:nvSpPr>
        <xdr:cNvPr id="113" name="Shape 16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134</xdr:row>
      <xdr:rowOff>0</xdr:rowOff>
    </xdr:from>
    <xdr:ext cx="2409825" cy="190500"/>
    <xdr:sp macro="" textlink="">
      <xdr:nvSpPr>
        <xdr:cNvPr id="114" name="Shape 15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134</xdr:row>
      <xdr:rowOff>0</xdr:rowOff>
    </xdr:from>
    <xdr:ext cx="904875" cy="266700"/>
    <xdr:sp macro="" textlink="">
      <xdr:nvSpPr>
        <xdr:cNvPr id="115" name="Shape 16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134</xdr:row>
      <xdr:rowOff>0</xdr:rowOff>
    </xdr:from>
    <xdr:ext cx="2409825" cy="190500"/>
    <xdr:sp macro="" textlink="">
      <xdr:nvSpPr>
        <xdr:cNvPr id="116" name="Shape 1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134</xdr:row>
      <xdr:rowOff>0</xdr:rowOff>
    </xdr:from>
    <xdr:ext cx="904875" cy="266700"/>
    <xdr:sp macro="" textlink="">
      <xdr:nvSpPr>
        <xdr:cNvPr id="117" name="Shape 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134</xdr:row>
      <xdr:rowOff>0</xdr:rowOff>
    </xdr:from>
    <xdr:ext cx="2409825" cy="190500"/>
    <xdr:sp macro="" textlink="">
      <xdr:nvSpPr>
        <xdr:cNvPr id="118" name="Shape 15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134</xdr:row>
      <xdr:rowOff>0</xdr:rowOff>
    </xdr:from>
    <xdr:ext cx="904875" cy="266700"/>
    <xdr:sp macro="" textlink="">
      <xdr:nvSpPr>
        <xdr:cNvPr id="119" name="Shape 16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134</xdr:row>
      <xdr:rowOff>0</xdr:rowOff>
    </xdr:from>
    <xdr:ext cx="2409825" cy="190500"/>
    <xdr:sp macro="" textlink="">
      <xdr:nvSpPr>
        <xdr:cNvPr id="120" name="Shape 15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134</xdr:row>
      <xdr:rowOff>0</xdr:rowOff>
    </xdr:from>
    <xdr:ext cx="2409825" cy="190500"/>
    <xdr:sp macro="" textlink="">
      <xdr:nvSpPr>
        <xdr:cNvPr id="121" name="Shape 15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134</xdr:row>
      <xdr:rowOff>0</xdr:rowOff>
    </xdr:from>
    <xdr:ext cx="2409825" cy="190500"/>
    <xdr:sp macro="" textlink="">
      <xdr:nvSpPr>
        <xdr:cNvPr id="122" name="Shape 15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134</xdr:row>
      <xdr:rowOff>0</xdr:rowOff>
    </xdr:from>
    <xdr:ext cx="2409825" cy="190500"/>
    <xdr:sp macro="" textlink="">
      <xdr:nvSpPr>
        <xdr:cNvPr id="123" name="Shape 15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134</xdr:row>
      <xdr:rowOff>0</xdr:rowOff>
    </xdr:from>
    <xdr:ext cx="904875" cy="266700"/>
    <xdr:sp macro="" textlink="">
      <xdr:nvSpPr>
        <xdr:cNvPr id="124" name="Shape 16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134</xdr:row>
      <xdr:rowOff>0</xdr:rowOff>
    </xdr:from>
    <xdr:ext cx="2409825" cy="190500"/>
    <xdr:sp macro="" textlink="">
      <xdr:nvSpPr>
        <xdr:cNvPr id="125" name="Shape 15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134</xdr:row>
      <xdr:rowOff>0</xdr:rowOff>
    </xdr:from>
    <xdr:ext cx="904875" cy="266700"/>
    <xdr:sp macro="" textlink="">
      <xdr:nvSpPr>
        <xdr:cNvPr id="126" name="Shape 16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134</xdr:row>
      <xdr:rowOff>0</xdr:rowOff>
    </xdr:from>
    <xdr:ext cx="2409825" cy="190500"/>
    <xdr:sp macro="" textlink="">
      <xdr:nvSpPr>
        <xdr:cNvPr id="127" name="Shape 15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134</xdr:row>
      <xdr:rowOff>0</xdr:rowOff>
    </xdr:from>
    <xdr:ext cx="904875" cy="266700"/>
    <xdr:sp macro="" textlink="">
      <xdr:nvSpPr>
        <xdr:cNvPr id="128" name="Shape 16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134</xdr:row>
      <xdr:rowOff>0</xdr:rowOff>
    </xdr:from>
    <xdr:ext cx="2409825" cy="190500"/>
    <xdr:sp macro="" textlink="">
      <xdr:nvSpPr>
        <xdr:cNvPr id="129" name="Shape 15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134</xdr:row>
      <xdr:rowOff>0</xdr:rowOff>
    </xdr:from>
    <xdr:ext cx="904875" cy="266700"/>
    <xdr:sp macro="" textlink="">
      <xdr:nvSpPr>
        <xdr:cNvPr id="130" name="Shape 16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134</xdr:row>
      <xdr:rowOff>0</xdr:rowOff>
    </xdr:from>
    <xdr:ext cx="2409825" cy="190500"/>
    <xdr:sp macro="" textlink="">
      <xdr:nvSpPr>
        <xdr:cNvPr id="131" name="Shape 15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180</xdr:row>
      <xdr:rowOff>0</xdr:rowOff>
    </xdr:from>
    <xdr:ext cx="2409825" cy="190500"/>
    <xdr:sp macro="" textlink="">
      <xdr:nvSpPr>
        <xdr:cNvPr id="132" name="Shape 15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180</xdr:row>
      <xdr:rowOff>0</xdr:rowOff>
    </xdr:from>
    <xdr:ext cx="2409825" cy="190500"/>
    <xdr:sp macro="" textlink="">
      <xdr:nvSpPr>
        <xdr:cNvPr id="133" name="Shape 15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180</xdr:row>
      <xdr:rowOff>0</xdr:rowOff>
    </xdr:from>
    <xdr:ext cx="2409825" cy="190500"/>
    <xdr:sp macro="" textlink="">
      <xdr:nvSpPr>
        <xdr:cNvPr id="134" name="Shape 15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180</xdr:row>
      <xdr:rowOff>0</xdr:rowOff>
    </xdr:from>
    <xdr:ext cx="904875" cy="266700"/>
    <xdr:sp macro="" textlink="">
      <xdr:nvSpPr>
        <xdr:cNvPr id="135" name="Shape 16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180</xdr:row>
      <xdr:rowOff>0</xdr:rowOff>
    </xdr:from>
    <xdr:ext cx="2409825" cy="190500"/>
    <xdr:sp macro="" textlink="">
      <xdr:nvSpPr>
        <xdr:cNvPr id="136" name="Shape 1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180</xdr:row>
      <xdr:rowOff>0</xdr:rowOff>
    </xdr:from>
    <xdr:ext cx="904875" cy="266700"/>
    <xdr:sp macro="" textlink="">
      <xdr:nvSpPr>
        <xdr:cNvPr id="137" name="Shape 16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180</xdr:row>
      <xdr:rowOff>0</xdr:rowOff>
    </xdr:from>
    <xdr:ext cx="2409825" cy="190500"/>
    <xdr:sp macro="" textlink="">
      <xdr:nvSpPr>
        <xdr:cNvPr id="138" name="Shape 15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180</xdr:row>
      <xdr:rowOff>0</xdr:rowOff>
    </xdr:from>
    <xdr:ext cx="904875" cy="266700"/>
    <xdr:sp macro="" textlink="">
      <xdr:nvSpPr>
        <xdr:cNvPr id="139" name="Shape 16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180</xdr:row>
      <xdr:rowOff>0</xdr:rowOff>
    </xdr:from>
    <xdr:ext cx="2409825" cy="190500"/>
    <xdr:sp macro="" textlink="">
      <xdr:nvSpPr>
        <xdr:cNvPr id="140" name="Shape 15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180</xdr:row>
      <xdr:rowOff>0</xdr:rowOff>
    </xdr:from>
    <xdr:ext cx="904875" cy="266700"/>
    <xdr:sp macro="" textlink="">
      <xdr:nvSpPr>
        <xdr:cNvPr id="141" name="Shape 16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180</xdr:row>
      <xdr:rowOff>0</xdr:rowOff>
    </xdr:from>
    <xdr:ext cx="2409825" cy="190500"/>
    <xdr:sp macro="" textlink="">
      <xdr:nvSpPr>
        <xdr:cNvPr id="142" name="Shape 15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180</xdr:row>
      <xdr:rowOff>0</xdr:rowOff>
    </xdr:from>
    <xdr:ext cx="2409825" cy="190500"/>
    <xdr:sp macro="" textlink="">
      <xdr:nvSpPr>
        <xdr:cNvPr id="143" name="Shape 15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180</xdr:row>
      <xdr:rowOff>0</xdr:rowOff>
    </xdr:from>
    <xdr:ext cx="2409825" cy="190500"/>
    <xdr:sp macro="" textlink="">
      <xdr:nvSpPr>
        <xdr:cNvPr id="144" name="Shape 15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180</xdr:row>
      <xdr:rowOff>0</xdr:rowOff>
    </xdr:from>
    <xdr:ext cx="2409825" cy="190500"/>
    <xdr:sp macro="" textlink="">
      <xdr:nvSpPr>
        <xdr:cNvPr id="145" name="Shape 15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180</xdr:row>
      <xdr:rowOff>0</xdr:rowOff>
    </xdr:from>
    <xdr:ext cx="904875" cy="266700"/>
    <xdr:sp macro="" textlink="">
      <xdr:nvSpPr>
        <xdr:cNvPr id="146" name="Shape 16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180</xdr:row>
      <xdr:rowOff>0</xdr:rowOff>
    </xdr:from>
    <xdr:ext cx="2409825" cy="190500"/>
    <xdr:sp macro="" textlink="">
      <xdr:nvSpPr>
        <xdr:cNvPr id="147" name="Shape 15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180</xdr:row>
      <xdr:rowOff>0</xdr:rowOff>
    </xdr:from>
    <xdr:ext cx="904875" cy="266700"/>
    <xdr:sp macro="" textlink="">
      <xdr:nvSpPr>
        <xdr:cNvPr id="148" name="Shape 16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180</xdr:row>
      <xdr:rowOff>0</xdr:rowOff>
    </xdr:from>
    <xdr:ext cx="2409825" cy="190500"/>
    <xdr:sp macro="" textlink="">
      <xdr:nvSpPr>
        <xdr:cNvPr id="149" name="Shape 15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180</xdr:row>
      <xdr:rowOff>0</xdr:rowOff>
    </xdr:from>
    <xdr:ext cx="904875" cy="266700"/>
    <xdr:sp macro="" textlink="">
      <xdr:nvSpPr>
        <xdr:cNvPr id="150" name="Shape 16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180</xdr:row>
      <xdr:rowOff>0</xdr:rowOff>
    </xdr:from>
    <xdr:ext cx="2409825" cy="190500"/>
    <xdr:sp macro="" textlink="">
      <xdr:nvSpPr>
        <xdr:cNvPr id="151" name="Shape 15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180</xdr:row>
      <xdr:rowOff>0</xdr:rowOff>
    </xdr:from>
    <xdr:ext cx="904875" cy="266700"/>
    <xdr:sp macro="" textlink="">
      <xdr:nvSpPr>
        <xdr:cNvPr id="152" name="Shape 16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180</xdr:row>
      <xdr:rowOff>0</xdr:rowOff>
    </xdr:from>
    <xdr:ext cx="2409825" cy="190500"/>
    <xdr:sp macro="" textlink="">
      <xdr:nvSpPr>
        <xdr:cNvPr id="153" name="Shape 15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226</xdr:row>
      <xdr:rowOff>0</xdr:rowOff>
    </xdr:from>
    <xdr:ext cx="2409825" cy="190500"/>
    <xdr:sp macro="" textlink="">
      <xdr:nvSpPr>
        <xdr:cNvPr id="154" name="Shape 19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226</xdr:row>
      <xdr:rowOff>0</xdr:rowOff>
    </xdr:from>
    <xdr:ext cx="2409825" cy="190500"/>
    <xdr:sp macro="" textlink="">
      <xdr:nvSpPr>
        <xdr:cNvPr id="155" name="Shape 19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226</xdr:row>
      <xdr:rowOff>0</xdr:rowOff>
    </xdr:from>
    <xdr:ext cx="2409825" cy="190500"/>
    <xdr:sp macro="" textlink="">
      <xdr:nvSpPr>
        <xdr:cNvPr id="156" name="Shape 19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226</xdr:row>
      <xdr:rowOff>0</xdr:rowOff>
    </xdr:from>
    <xdr:ext cx="904875" cy="266700"/>
    <xdr:sp macro="" textlink="">
      <xdr:nvSpPr>
        <xdr:cNvPr id="157" name="Shape 20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226</xdr:row>
      <xdr:rowOff>0</xdr:rowOff>
    </xdr:from>
    <xdr:ext cx="2409825" cy="190500"/>
    <xdr:sp macro="" textlink="">
      <xdr:nvSpPr>
        <xdr:cNvPr id="158" name="Shape 19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226</xdr:row>
      <xdr:rowOff>0</xdr:rowOff>
    </xdr:from>
    <xdr:ext cx="904875" cy="266700"/>
    <xdr:sp macro="" textlink="">
      <xdr:nvSpPr>
        <xdr:cNvPr id="159" name="Shape 20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226</xdr:row>
      <xdr:rowOff>0</xdr:rowOff>
    </xdr:from>
    <xdr:ext cx="2409825" cy="190500"/>
    <xdr:sp macro="" textlink="">
      <xdr:nvSpPr>
        <xdr:cNvPr id="160" name="Shape 19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226</xdr:row>
      <xdr:rowOff>0</xdr:rowOff>
    </xdr:from>
    <xdr:ext cx="904875" cy="266700"/>
    <xdr:sp macro="" textlink="">
      <xdr:nvSpPr>
        <xdr:cNvPr id="161" name="Shape 20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226</xdr:row>
      <xdr:rowOff>0</xdr:rowOff>
    </xdr:from>
    <xdr:ext cx="2409825" cy="190500"/>
    <xdr:sp macro="" textlink="">
      <xdr:nvSpPr>
        <xdr:cNvPr id="162" name="Shape 19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226</xdr:row>
      <xdr:rowOff>0</xdr:rowOff>
    </xdr:from>
    <xdr:ext cx="904875" cy="266700"/>
    <xdr:sp macro="" textlink="">
      <xdr:nvSpPr>
        <xdr:cNvPr id="163" name="Shape 20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226</xdr:row>
      <xdr:rowOff>0</xdr:rowOff>
    </xdr:from>
    <xdr:ext cx="2409825" cy="190500"/>
    <xdr:sp macro="" textlink="">
      <xdr:nvSpPr>
        <xdr:cNvPr id="164" name="Shape 19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226</xdr:row>
      <xdr:rowOff>0</xdr:rowOff>
    </xdr:from>
    <xdr:ext cx="2409825" cy="190500"/>
    <xdr:sp macro="" textlink="">
      <xdr:nvSpPr>
        <xdr:cNvPr id="165" name="Shape 19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226</xdr:row>
      <xdr:rowOff>0</xdr:rowOff>
    </xdr:from>
    <xdr:ext cx="2409825" cy="190500"/>
    <xdr:sp macro="" textlink="">
      <xdr:nvSpPr>
        <xdr:cNvPr id="166" name="Shape 19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226</xdr:row>
      <xdr:rowOff>0</xdr:rowOff>
    </xdr:from>
    <xdr:ext cx="2409825" cy="190500"/>
    <xdr:sp macro="" textlink="">
      <xdr:nvSpPr>
        <xdr:cNvPr id="167" name="Shape 19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226</xdr:row>
      <xdr:rowOff>0</xdr:rowOff>
    </xdr:from>
    <xdr:ext cx="904875" cy="266700"/>
    <xdr:sp macro="" textlink="">
      <xdr:nvSpPr>
        <xdr:cNvPr id="168" name="Shape 20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226</xdr:row>
      <xdr:rowOff>0</xdr:rowOff>
    </xdr:from>
    <xdr:ext cx="2409825" cy="190500"/>
    <xdr:sp macro="" textlink="">
      <xdr:nvSpPr>
        <xdr:cNvPr id="169" name="Shape 19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226</xdr:row>
      <xdr:rowOff>0</xdr:rowOff>
    </xdr:from>
    <xdr:ext cx="904875" cy="266700"/>
    <xdr:sp macro="" textlink="">
      <xdr:nvSpPr>
        <xdr:cNvPr id="170" name="Shape 20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226</xdr:row>
      <xdr:rowOff>0</xdr:rowOff>
    </xdr:from>
    <xdr:ext cx="2409825" cy="190500"/>
    <xdr:sp macro="" textlink="">
      <xdr:nvSpPr>
        <xdr:cNvPr id="171" name="Shape 19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226</xdr:row>
      <xdr:rowOff>0</xdr:rowOff>
    </xdr:from>
    <xdr:ext cx="904875" cy="266700"/>
    <xdr:sp macro="" textlink="">
      <xdr:nvSpPr>
        <xdr:cNvPr id="172" name="Shape 20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226</xdr:row>
      <xdr:rowOff>0</xdr:rowOff>
    </xdr:from>
    <xdr:ext cx="2409825" cy="190500"/>
    <xdr:sp macro="" textlink="">
      <xdr:nvSpPr>
        <xdr:cNvPr id="173" name="Shape 19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226</xdr:row>
      <xdr:rowOff>0</xdr:rowOff>
    </xdr:from>
    <xdr:ext cx="904875" cy="266700"/>
    <xdr:sp macro="" textlink="">
      <xdr:nvSpPr>
        <xdr:cNvPr id="174" name="Shape 20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226</xdr:row>
      <xdr:rowOff>0</xdr:rowOff>
    </xdr:from>
    <xdr:ext cx="2409825" cy="190500"/>
    <xdr:sp macro="" textlink="">
      <xdr:nvSpPr>
        <xdr:cNvPr id="175" name="Shape 19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272</xdr:row>
      <xdr:rowOff>0</xdr:rowOff>
    </xdr:from>
    <xdr:ext cx="2409825" cy="190500"/>
    <xdr:sp macro="" textlink="">
      <xdr:nvSpPr>
        <xdr:cNvPr id="176" name="Shape 19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272</xdr:row>
      <xdr:rowOff>0</xdr:rowOff>
    </xdr:from>
    <xdr:ext cx="2409825" cy="190500"/>
    <xdr:sp macro="" textlink="">
      <xdr:nvSpPr>
        <xdr:cNvPr id="177" name="Shape 19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272</xdr:row>
      <xdr:rowOff>0</xdr:rowOff>
    </xdr:from>
    <xdr:ext cx="2409825" cy="190500"/>
    <xdr:sp macro="" textlink="">
      <xdr:nvSpPr>
        <xdr:cNvPr id="178" name="Shape 19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272</xdr:row>
      <xdr:rowOff>0</xdr:rowOff>
    </xdr:from>
    <xdr:ext cx="904875" cy="266700"/>
    <xdr:sp macro="" textlink="">
      <xdr:nvSpPr>
        <xdr:cNvPr id="179" name="Shape 20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272</xdr:row>
      <xdr:rowOff>0</xdr:rowOff>
    </xdr:from>
    <xdr:ext cx="2409825" cy="190500"/>
    <xdr:sp macro="" textlink="">
      <xdr:nvSpPr>
        <xdr:cNvPr id="180" name="Shape 19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272</xdr:row>
      <xdr:rowOff>0</xdr:rowOff>
    </xdr:from>
    <xdr:ext cx="904875" cy="266700"/>
    <xdr:sp macro="" textlink="">
      <xdr:nvSpPr>
        <xdr:cNvPr id="181" name="Shape 20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272</xdr:row>
      <xdr:rowOff>0</xdr:rowOff>
    </xdr:from>
    <xdr:ext cx="2409825" cy="190500"/>
    <xdr:sp macro="" textlink="">
      <xdr:nvSpPr>
        <xdr:cNvPr id="182" name="Shape 19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272</xdr:row>
      <xdr:rowOff>0</xdr:rowOff>
    </xdr:from>
    <xdr:ext cx="904875" cy="266700"/>
    <xdr:sp macro="" textlink="">
      <xdr:nvSpPr>
        <xdr:cNvPr id="183" name="Shape 20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272</xdr:row>
      <xdr:rowOff>0</xdr:rowOff>
    </xdr:from>
    <xdr:ext cx="2409825" cy="190500"/>
    <xdr:sp macro="" textlink="">
      <xdr:nvSpPr>
        <xdr:cNvPr id="184" name="Shape 19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272</xdr:row>
      <xdr:rowOff>0</xdr:rowOff>
    </xdr:from>
    <xdr:ext cx="904875" cy="266700"/>
    <xdr:sp macro="" textlink="">
      <xdr:nvSpPr>
        <xdr:cNvPr id="185" name="Shape 20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272</xdr:row>
      <xdr:rowOff>0</xdr:rowOff>
    </xdr:from>
    <xdr:ext cx="2409825" cy="190500"/>
    <xdr:sp macro="" textlink="">
      <xdr:nvSpPr>
        <xdr:cNvPr id="186" name="Shape 19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272</xdr:row>
      <xdr:rowOff>0</xdr:rowOff>
    </xdr:from>
    <xdr:ext cx="2409825" cy="190500"/>
    <xdr:sp macro="" textlink="">
      <xdr:nvSpPr>
        <xdr:cNvPr id="187" name="Shape 19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272</xdr:row>
      <xdr:rowOff>0</xdr:rowOff>
    </xdr:from>
    <xdr:ext cx="2409825" cy="190500"/>
    <xdr:sp macro="" textlink="">
      <xdr:nvSpPr>
        <xdr:cNvPr id="188" name="Shape 19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272</xdr:row>
      <xdr:rowOff>0</xdr:rowOff>
    </xdr:from>
    <xdr:ext cx="2409825" cy="190500"/>
    <xdr:sp macro="" textlink="">
      <xdr:nvSpPr>
        <xdr:cNvPr id="189" name="Shape 19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272</xdr:row>
      <xdr:rowOff>0</xdr:rowOff>
    </xdr:from>
    <xdr:ext cx="904875" cy="266700"/>
    <xdr:sp macro="" textlink="">
      <xdr:nvSpPr>
        <xdr:cNvPr id="190" name="Shape 20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272</xdr:row>
      <xdr:rowOff>0</xdr:rowOff>
    </xdr:from>
    <xdr:ext cx="2409825" cy="190500"/>
    <xdr:sp macro="" textlink="">
      <xdr:nvSpPr>
        <xdr:cNvPr id="191" name="Shape 19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272</xdr:row>
      <xdr:rowOff>0</xdr:rowOff>
    </xdr:from>
    <xdr:ext cx="904875" cy="266700"/>
    <xdr:sp macro="" textlink="">
      <xdr:nvSpPr>
        <xdr:cNvPr id="192" name="Shape 20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272</xdr:row>
      <xdr:rowOff>0</xdr:rowOff>
    </xdr:from>
    <xdr:ext cx="2409825" cy="190500"/>
    <xdr:sp macro="" textlink="">
      <xdr:nvSpPr>
        <xdr:cNvPr id="193" name="Shape 19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272</xdr:row>
      <xdr:rowOff>0</xdr:rowOff>
    </xdr:from>
    <xdr:ext cx="904875" cy="266700"/>
    <xdr:sp macro="" textlink="">
      <xdr:nvSpPr>
        <xdr:cNvPr id="194" name="Shape 20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272</xdr:row>
      <xdr:rowOff>0</xdr:rowOff>
    </xdr:from>
    <xdr:ext cx="2409825" cy="190500"/>
    <xdr:sp macro="" textlink="">
      <xdr:nvSpPr>
        <xdr:cNvPr id="195" name="Shape 19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272</xdr:row>
      <xdr:rowOff>0</xdr:rowOff>
    </xdr:from>
    <xdr:ext cx="904875" cy="266700"/>
    <xdr:sp macro="" textlink="">
      <xdr:nvSpPr>
        <xdr:cNvPr id="196" name="Shape 20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272</xdr:row>
      <xdr:rowOff>0</xdr:rowOff>
    </xdr:from>
    <xdr:ext cx="2409825" cy="190500"/>
    <xdr:sp macro="" textlink="">
      <xdr:nvSpPr>
        <xdr:cNvPr id="197" name="Shape 19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318</xdr:row>
      <xdr:rowOff>0</xdr:rowOff>
    </xdr:from>
    <xdr:ext cx="2409825" cy="190500"/>
    <xdr:sp macro="" textlink="">
      <xdr:nvSpPr>
        <xdr:cNvPr id="198" name="Shape 19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318</xdr:row>
      <xdr:rowOff>0</xdr:rowOff>
    </xdr:from>
    <xdr:ext cx="2409825" cy="190500"/>
    <xdr:sp macro="" textlink="">
      <xdr:nvSpPr>
        <xdr:cNvPr id="199" name="Shape 19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318</xdr:row>
      <xdr:rowOff>0</xdr:rowOff>
    </xdr:from>
    <xdr:ext cx="2409825" cy="190500"/>
    <xdr:sp macro="" textlink="">
      <xdr:nvSpPr>
        <xdr:cNvPr id="200" name="Shape 19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318</xdr:row>
      <xdr:rowOff>0</xdr:rowOff>
    </xdr:from>
    <xdr:ext cx="904875" cy="266700"/>
    <xdr:sp macro="" textlink="">
      <xdr:nvSpPr>
        <xdr:cNvPr id="201" name="Shape 20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318</xdr:row>
      <xdr:rowOff>0</xdr:rowOff>
    </xdr:from>
    <xdr:ext cx="2409825" cy="190500"/>
    <xdr:sp macro="" textlink="">
      <xdr:nvSpPr>
        <xdr:cNvPr id="202" name="Shape 19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318</xdr:row>
      <xdr:rowOff>0</xdr:rowOff>
    </xdr:from>
    <xdr:ext cx="904875" cy="266700"/>
    <xdr:sp macro="" textlink="">
      <xdr:nvSpPr>
        <xdr:cNvPr id="203" name="Shape 20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318</xdr:row>
      <xdr:rowOff>0</xdr:rowOff>
    </xdr:from>
    <xdr:ext cx="2409825" cy="190500"/>
    <xdr:sp macro="" textlink="">
      <xdr:nvSpPr>
        <xdr:cNvPr id="204" name="Shape 19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318</xdr:row>
      <xdr:rowOff>0</xdr:rowOff>
    </xdr:from>
    <xdr:ext cx="904875" cy="266700"/>
    <xdr:sp macro="" textlink="">
      <xdr:nvSpPr>
        <xdr:cNvPr id="205" name="Shape 20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318</xdr:row>
      <xdr:rowOff>0</xdr:rowOff>
    </xdr:from>
    <xdr:ext cx="2409825" cy="190500"/>
    <xdr:sp macro="" textlink="">
      <xdr:nvSpPr>
        <xdr:cNvPr id="206" name="Shape 19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318</xdr:row>
      <xdr:rowOff>0</xdr:rowOff>
    </xdr:from>
    <xdr:ext cx="904875" cy="266700"/>
    <xdr:sp macro="" textlink="">
      <xdr:nvSpPr>
        <xdr:cNvPr id="207" name="Shape 20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318</xdr:row>
      <xdr:rowOff>0</xdr:rowOff>
    </xdr:from>
    <xdr:ext cx="2409825" cy="190500"/>
    <xdr:sp macro="" textlink="">
      <xdr:nvSpPr>
        <xdr:cNvPr id="208" name="Shape 19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318</xdr:row>
      <xdr:rowOff>0</xdr:rowOff>
    </xdr:from>
    <xdr:ext cx="2409825" cy="190500"/>
    <xdr:sp macro="" textlink="">
      <xdr:nvSpPr>
        <xdr:cNvPr id="209" name="Shape 19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318</xdr:row>
      <xdr:rowOff>0</xdr:rowOff>
    </xdr:from>
    <xdr:ext cx="2409825" cy="190500"/>
    <xdr:sp macro="" textlink="">
      <xdr:nvSpPr>
        <xdr:cNvPr id="210" name="Shape 19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318</xdr:row>
      <xdr:rowOff>0</xdr:rowOff>
    </xdr:from>
    <xdr:ext cx="2409825" cy="190500"/>
    <xdr:sp macro="" textlink="">
      <xdr:nvSpPr>
        <xdr:cNvPr id="211" name="Shape 19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318</xdr:row>
      <xdr:rowOff>0</xdr:rowOff>
    </xdr:from>
    <xdr:ext cx="904875" cy="266700"/>
    <xdr:sp macro="" textlink="">
      <xdr:nvSpPr>
        <xdr:cNvPr id="212" name="Shape 20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318</xdr:row>
      <xdr:rowOff>0</xdr:rowOff>
    </xdr:from>
    <xdr:ext cx="2409825" cy="190500"/>
    <xdr:sp macro="" textlink="">
      <xdr:nvSpPr>
        <xdr:cNvPr id="213" name="Shape 19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318</xdr:row>
      <xdr:rowOff>0</xdr:rowOff>
    </xdr:from>
    <xdr:ext cx="904875" cy="266700"/>
    <xdr:sp macro="" textlink="">
      <xdr:nvSpPr>
        <xdr:cNvPr id="214" name="Shape 20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318</xdr:row>
      <xdr:rowOff>0</xdr:rowOff>
    </xdr:from>
    <xdr:ext cx="2409825" cy="190500"/>
    <xdr:sp macro="" textlink="">
      <xdr:nvSpPr>
        <xdr:cNvPr id="215" name="Shape 19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318</xdr:row>
      <xdr:rowOff>0</xdr:rowOff>
    </xdr:from>
    <xdr:ext cx="904875" cy="266700"/>
    <xdr:sp macro="" textlink="">
      <xdr:nvSpPr>
        <xdr:cNvPr id="216" name="Shape 20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318</xdr:row>
      <xdr:rowOff>0</xdr:rowOff>
    </xdr:from>
    <xdr:ext cx="2409825" cy="190500"/>
    <xdr:sp macro="" textlink="">
      <xdr:nvSpPr>
        <xdr:cNvPr id="217" name="Shape 19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318</xdr:row>
      <xdr:rowOff>0</xdr:rowOff>
    </xdr:from>
    <xdr:ext cx="904875" cy="266700"/>
    <xdr:sp macro="" textlink="">
      <xdr:nvSpPr>
        <xdr:cNvPr id="218" name="Shape 20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318</xdr:row>
      <xdr:rowOff>0</xdr:rowOff>
    </xdr:from>
    <xdr:ext cx="2409825" cy="190500"/>
    <xdr:sp macro="" textlink="">
      <xdr:nvSpPr>
        <xdr:cNvPr id="219" name="Shape 19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364</xdr:row>
      <xdr:rowOff>0</xdr:rowOff>
    </xdr:from>
    <xdr:ext cx="2409825" cy="190500"/>
    <xdr:sp macro="" textlink="">
      <xdr:nvSpPr>
        <xdr:cNvPr id="220" name="Shape 19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364</xdr:row>
      <xdr:rowOff>0</xdr:rowOff>
    </xdr:from>
    <xdr:ext cx="2409825" cy="190500"/>
    <xdr:sp macro="" textlink="">
      <xdr:nvSpPr>
        <xdr:cNvPr id="221" name="Shape 19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364</xdr:row>
      <xdr:rowOff>0</xdr:rowOff>
    </xdr:from>
    <xdr:ext cx="2409825" cy="190500"/>
    <xdr:sp macro="" textlink="">
      <xdr:nvSpPr>
        <xdr:cNvPr id="222" name="Shape 19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364</xdr:row>
      <xdr:rowOff>0</xdr:rowOff>
    </xdr:from>
    <xdr:ext cx="904875" cy="266700"/>
    <xdr:sp macro="" textlink="">
      <xdr:nvSpPr>
        <xdr:cNvPr id="223" name="Shape 20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364</xdr:row>
      <xdr:rowOff>0</xdr:rowOff>
    </xdr:from>
    <xdr:ext cx="2409825" cy="190500"/>
    <xdr:sp macro="" textlink="">
      <xdr:nvSpPr>
        <xdr:cNvPr id="224" name="Shape 19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364</xdr:row>
      <xdr:rowOff>0</xdr:rowOff>
    </xdr:from>
    <xdr:ext cx="904875" cy="266700"/>
    <xdr:sp macro="" textlink="">
      <xdr:nvSpPr>
        <xdr:cNvPr id="225" name="Shape 20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364</xdr:row>
      <xdr:rowOff>0</xdr:rowOff>
    </xdr:from>
    <xdr:ext cx="2409825" cy="190500"/>
    <xdr:sp macro="" textlink="">
      <xdr:nvSpPr>
        <xdr:cNvPr id="226" name="Shape 19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364</xdr:row>
      <xdr:rowOff>0</xdr:rowOff>
    </xdr:from>
    <xdr:ext cx="904875" cy="266700"/>
    <xdr:sp macro="" textlink="">
      <xdr:nvSpPr>
        <xdr:cNvPr id="227" name="Shape 20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364</xdr:row>
      <xdr:rowOff>0</xdr:rowOff>
    </xdr:from>
    <xdr:ext cx="2409825" cy="190500"/>
    <xdr:sp macro="" textlink="">
      <xdr:nvSpPr>
        <xdr:cNvPr id="228" name="Shape 19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364</xdr:row>
      <xdr:rowOff>0</xdr:rowOff>
    </xdr:from>
    <xdr:ext cx="904875" cy="266700"/>
    <xdr:sp macro="" textlink="">
      <xdr:nvSpPr>
        <xdr:cNvPr id="229" name="Shape 20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364</xdr:row>
      <xdr:rowOff>0</xdr:rowOff>
    </xdr:from>
    <xdr:ext cx="2409825" cy="190500"/>
    <xdr:sp macro="" textlink="">
      <xdr:nvSpPr>
        <xdr:cNvPr id="230" name="Shape 19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364</xdr:row>
      <xdr:rowOff>0</xdr:rowOff>
    </xdr:from>
    <xdr:ext cx="2409825" cy="190500"/>
    <xdr:sp macro="" textlink="">
      <xdr:nvSpPr>
        <xdr:cNvPr id="231" name="Shape 19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364</xdr:row>
      <xdr:rowOff>0</xdr:rowOff>
    </xdr:from>
    <xdr:ext cx="2409825" cy="190500"/>
    <xdr:sp macro="" textlink="">
      <xdr:nvSpPr>
        <xdr:cNvPr id="232" name="Shape 19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364</xdr:row>
      <xdr:rowOff>0</xdr:rowOff>
    </xdr:from>
    <xdr:ext cx="2409825" cy="190500"/>
    <xdr:sp macro="" textlink="">
      <xdr:nvSpPr>
        <xdr:cNvPr id="233" name="Shape 19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364</xdr:row>
      <xdr:rowOff>0</xdr:rowOff>
    </xdr:from>
    <xdr:ext cx="904875" cy="266700"/>
    <xdr:sp macro="" textlink="">
      <xdr:nvSpPr>
        <xdr:cNvPr id="234" name="Shape 20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364</xdr:row>
      <xdr:rowOff>0</xdr:rowOff>
    </xdr:from>
    <xdr:ext cx="2409825" cy="190500"/>
    <xdr:sp macro="" textlink="">
      <xdr:nvSpPr>
        <xdr:cNvPr id="235" name="Shape 19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364</xdr:row>
      <xdr:rowOff>0</xdr:rowOff>
    </xdr:from>
    <xdr:ext cx="904875" cy="266700"/>
    <xdr:sp macro="" textlink="">
      <xdr:nvSpPr>
        <xdr:cNvPr id="236" name="Shape 20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364</xdr:row>
      <xdr:rowOff>0</xdr:rowOff>
    </xdr:from>
    <xdr:ext cx="2409825" cy="190500"/>
    <xdr:sp macro="" textlink="">
      <xdr:nvSpPr>
        <xdr:cNvPr id="237" name="Shape 19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364</xdr:row>
      <xdr:rowOff>0</xdr:rowOff>
    </xdr:from>
    <xdr:ext cx="904875" cy="266700"/>
    <xdr:sp macro="" textlink="">
      <xdr:nvSpPr>
        <xdr:cNvPr id="238" name="Shape 20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364</xdr:row>
      <xdr:rowOff>0</xdr:rowOff>
    </xdr:from>
    <xdr:ext cx="2409825" cy="190500"/>
    <xdr:sp macro="" textlink="">
      <xdr:nvSpPr>
        <xdr:cNvPr id="239" name="Shape 19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2047875</xdr:colOff>
      <xdr:row>364</xdr:row>
      <xdr:rowOff>0</xdr:rowOff>
    </xdr:from>
    <xdr:ext cx="904875" cy="266700"/>
    <xdr:sp macro="" textlink="">
      <xdr:nvSpPr>
        <xdr:cNvPr id="240" name="Shape 20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 txBox="1"/>
      </xdr:nvSpPr>
      <xdr:spPr>
        <a:xfrm>
          <a:off x="4897267" y="3648767"/>
          <a:ext cx="897467" cy="26246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2200" b="0" i="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571500</xdr:colOff>
      <xdr:row>364</xdr:row>
      <xdr:rowOff>0</xdr:rowOff>
    </xdr:from>
    <xdr:ext cx="2409825" cy="190500"/>
    <xdr:sp macro="" textlink="">
      <xdr:nvSpPr>
        <xdr:cNvPr id="241" name="Shape 19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 txBox="1"/>
      </xdr:nvSpPr>
      <xdr:spPr>
        <a:xfrm>
          <a:off x="4143733" y="3686867"/>
          <a:ext cx="2404534" cy="18626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endParaRPr sz="10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69"/>
  <sheetViews>
    <sheetView topLeftCell="A341" zoomScale="69" workbookViewId="0">
      <selection activeCell="D22" sqref="D22"/>
    </sheetView>
  </sheetViews>
  <sheetFormatPr baseColWidth="10" defaultColWidth="12.6640625" defaultRowHeight="14" x14ac:dyDescent="0.15"/>
  <cols>
    <col min="1" max="2" width="7.6640625" customWidth="1"/>
    <col min="3" max="3" width="23.5" customWidth="1"/>
    <col min="4" max="4" width="54.1640625" customWidth="1"/>
    <col min="5" max="6" width="20" customWidth="1"/>
    <col min="7" max="7" width="18.1640625" customWidth="1"/>
    <col min="8" max="8" width="20.1640625" customWidth="1"/>
    <col min="9" max="9" width="15.83203125" customWidth="1"/>
    <col min="10" max="10" width="84.6640625" customWidth="1"/>
    <col min="11" max="27" width="7.6640625" customWidth="1"/>
  </cols>
  <sheetData>
    <row r="1" spans="2:10" ht="31" x14ac:dyDescent="0.15">
      <c r="B1" s="88" t="s">
        <v>0</v>
      </c>
      <c r="C1" s="88"/>
      <c r="D1" s="88"/>
      <c r="E1" s="88"/>
      <c r="F1" s="88"/>
      <c r="G1" s="88"/>
      <c r="H1" s="88"/>
      <c r="I1" s="88"/>
      <c r="J1" s="89"/>
    </row>
    <row r="2" spans="2:10" ht="19" x14ac:dyDescent="0.15">
      <c r="B2" s="1"/>
      <c r="C2" s="2"/>
      <c r="D2" s="3"/>
      <c r="E2" s="3"/>
      <c r="F2" s="3"/>
      <c r="G2" s="3"/>
      <c r="H2" s="3"/>
      <c r="I2" s="3"/>
      <c r="J2" s="4" t="s">
        <v>1</v>
      </c>
    </row>
    <row r="3" spans="2:10" ht="25" x14ac:dyDescent="0.15">
      <c r="B3" s="1"/>
      <c r="C3" s="2"/>
      <c r="D3" s="85" t="s">
        <v>2</v>
      </c>
      <c r="E3" s="86"/>
      <c r="F3" s="86"/>
      <c r="G3" s="86"/>
      <c r="H3" s="87"/>
      <c r="I3" s="3"/>
      <c r="J3" s="2"/>
    </row>
    <row r="4" spans="2:10" ht="37" x14ac:dyDescent="0.15">
      <c r="B4" s="1"/>
      <c r="C4" s="2"/>
      <c r="D4" s="82" t="s">
        <v>128</v>
      </c>
      <c r="E4" s="83"/>
      <c r="F4" s="83"/>
      <c r="G4" s="83"/>
      <c r="H4" s="84"/>
      <c r="I4" s="3"/>
      <c r="J4" s="5"/>
    </row>
    <row r="5" spans="2:10" ht="2" x14ac:dyDescent="0.15">
      <c r="B5" s="6"/>
      <c r="C5" s="2"/>
      <c r="D5" s="7"/>
      <c r="E5" s="7"/>
      <c r="F5" s="7"/>
      <c r="G5" s="3"/>
      <c r="H5" s="7"/>
      <c r="I5" s="7"/>
      <c r="J5" s="8"/>
    </row>
    <row r="6" spans="2:10" x14ac:dyDescent="0.15">
      <c r="B6" s="1"/>
      <c r="C6" s="2"/>
      <c r="D6" s="3"/>
      <c r="E6" s="3"/>
      <c r="F6" s="3"/>
      <c r="G6" s="3"/>
      <c r="H6" s="3"/>
      <c r="I6" s="3"/>
      <c r="J6" s="2"/>
    </row>
    <row r="7" spans="2:10" ht="26" x14ac:dyDescent="0.15">
      <c r="B7" s="6"/>
      <c r="C7" s="78" t="s">
        <v>3</v>
      </c>
      <c r="D7" s="79"/>
      <c r="E7" s="9" t="s">
        <v>4</v>
      </c>
      <c r="F7" s="9" t="s">
        <v>5</v>
      </c>
      <c r="G7" s="9" t="s">
        <v>6</v>
      </c>
      <c r="H7" s="9" t="s">
        <v>7</v>
      </c>
      <c r="I7" s="10"/>
      <c r="J7" s="8"/>
    </row>
    <row r="8" spans="2:10" ht="26" x14ac:dyDescent="0.15">
      <c r="B8" s="6"/>
      <c r="C8" s="80"/>
      <c r="D8" s="81"/>
      <c r="E8" s="11">
        <v>295</v>
      </c>
      <c r="F8" s="11">
        <v>275</v>
      </c>
      <c r="G8" s="11">
        <v>500</v>
      </c>
      <c r="H8" s="11">
        <v>165</v>
      </c>
      <c r="I8" s="7"/>
      <c r="J8" s="8"/>
    </row>
    <row r="9" spans="2:10" ht="26" x14ac:dyDescent="0.3">
      <c r="B9" s="12"/>
      <c r="C9" s="13"/>
      <c r="D9" s="12"/>
      <c r="E9" s="12"/>
      <c r="F9" s="12"/>
      <c r="G9" s="12"/>
      <c r="H9" s="12"/>
      <c r="I9" s="12"/>
      <c r="J9" s="14"/>
    </row>
    <row r="10" spans="2:10" ht="26" x14ac:dyDescent="0.3">
      <c r="B10" s="12"/>
      <c r="C10" s="13"/>
      <c r="D10" s="12"/>
      <c r="E10" s="12"/>
      <c r="F10" s="12"/>
      <c r="G10" s="12"/>
      <c r="H10" s="12"/>
      <c r="I10" s="12"/>
      <c r="J10" s="14"/>
    </row>
    <row r="11" spans="2:10" ht="22" x14ac:dyDescent="0.15">
      <c r="B11" s="66" t="s">
        <v>8</v>
      </c>
      <c r="C11" s="15" t="s">
        <v>9</v>
      </c>
      <c r="D11" s="16" t="s">
        <v>10</v>
      </c>
      <c r="E11" s="16" t="s">
        <v>11</v>
      </c>
      <c r="F11" s="17" t="s">
        <v>12</v>
      </c>
      <c r="G11" s="16" t="str">
        <f>IF(D4 = "kg", "Load (kg)", "Load (lbs)")</f>
        <v>Load (lbs)</v>
      </c>
      <c r="H11" s="17" t="s">
        <v>13</v>
      </c>
      <c r="I11" s="17" t="s">
        <v>14</v>
      </c>
      <c r="J11" s="18" t="s">
        <v>15</v>
      </c>
    </row>
    <row r="12" spans="2:10" ht="54" x14ac:dyDescent="0.15">
      <c r="B12" s="76"/>
      <c r="C12" s="68" t="s">
        <v>16</v>
      </c>
      <c r="D12" s="13" t="s">
        <v>17</v>
      </c>
      <c r="E12" s="13">
        <v>3</v>
      </c>
      <c r="F12" s="13">
        <v>5</v>
      </c>
      <c r="G12" s="19">
        <f>IF(D4="kg",MROUND(E8*0.7,2.5),MROUND(E8*0.7,5))</f>
        <v>205</v>
      </c>
      <c r="H12" s="20">
        <v>0.7</v>
      </c>
      <c r="I12" s="21" t="s">
        <v>18</v>
      </c>
      <c r="J12" s="13" t="s">
        <v>19</v>
      </c>
    </row>
    <row r="13" spans="2:10" ht="54" x14ac:dyDescent="0.15">
      <c r="B13" s="76"/>
      <c r="C13" s="68"/>
      <c r="D13" s="13" t="s">
        <v>20</v>
      </c>
      <c r="E13" s="13">
        <v>2</v>
      </c>
      <c r="F13" s="22" t="s">
        <v>21</v>
      </c>
      <c r="G13" s="19"/>
      <c r="H13" s="23">
        <v>7</v>
      </c>
      <c r="I13" s="21" t="s">
        <v>18</v>
      </c>
      <c r="J13" s="13" t="s">
        <v>22</v>
      </c>
    </row>
    <row r="14" spans="2:10" ht="54" x14ac:dyDescent="0.15">
      <c r="B14" s="76"/>
      <c r="C14" s="68"/>
      <c r="D14" s="13" t="s">
        <v>23</v>
      </c>
      <c r="E14" s="13">
        <v>2</v>
      </c>
      <c r="F14" s="22" t="s">
        <v>24</v>
      </c>
      <c r="G14" s="19"/>
      <c r="H14" s="13">
        <v>6</v>
      </c>
      <c r="I14" s="21" t="s">
        <v>25</v>
      </c>
      <c r="J14" s="13" t="s">
        <v>26</v>
      </c>
    </row>
    <row r="15" spans="2:10" ht="54" x14ac:dyDescent="0.15">
      <c r="B15" s="76"/>
      <c r="C15" s="68"/>
      <c r="D15" s="13" t="s">
        <v>27</v>
      </c>
      <c r="E15" s="13">
        <v>2</v>
      </c>
      <c r="F15" s="22" t="s">
        <v>28</v>
      </c>
      <c r="G15" s="19"/>
      <c r="H15" s="13">
        <v>7</v>
      </c>
      <c r="I15" s="21" t="s">
        <v>29</v>
      </c>
      <c r="J15" s="13" t="s">
        <v>30</v>
      </c>
    </row>
    <row r="16" spans="2:10" ht="54" x14ac:dyDescent="0.15">
      <c r="B16" s="76"/>
      <c r="C16" s="68"/>
      <c r="D16" s="13" t="s">
        <v>31</v>
      </c>
      <c r="E16" s="13">
        <v>2</v>
      </c>
      <c r="F16" s="13">
        <v>15</v>
      </c>
      <c r="G16" s="19"/>
      <c r="H16" s="13">
        <v>8</v>
      </c>
      <c r="I16" s="21" t="s">
        <v>32</v>
      </c>
      <c r="J16" s="13" t="s">
        <v>33</v>
      </c>
    </row>
    <row r="17" spans="2:10" ht="54" x14ac:dyDescent="0.15">
      <c r="B17" s="76"/>
      <c r="C17" s="68"/>
      <c r="D17" s="13" t="s">
        <v>34</v>
      </c>
      <c r="E17" s="13">
        <v>2</v>
      </c>
      <c r="F17" s="13">
        <v>15</v>
      </c>
      <c r="G17" s="19"/>
      <c r="H17" s="13">
        <v>8</v>
      </c>
      <c r="I17" s="21" t="s">
        <v>29</v>
      </c>
      <c r="J17" s="13" t="s">
        <v>35</v>
      </c>
    </row>
    <row r="18" spans="2:10" ht="54" x14ac:dyDescent="0.15">
      <c r="B18" s="76"/>
      <c r="C18" s="69"/>
      <c r="D18" s="13" t="s">
        <v>36</v>
      </c>
      <c r="E18" s="13">
        <v>3</v>
      </c>
      <c r="F18" s="13">
        <v>10</v>
      </c>
      <c r="G18" s="19"/>
      <c r="H18" s="13">
        <v>7</v>
      </c>
      <c r="I18" s="21" t="s">
        <v>29</v>
      </c>
      <c r="J18" s="13" t="s">
        <v>37</v>
      </c>
    </row>
    <row r="19" spans="2:10" ht="54" x14ac:dyDescent="0.15">
      <c r="B19" s="76"/>
      <c r="C19" s="41" t="s">
        <v>38</v>
      </c>
      <c r="D19" s="24" t="s">
        <v>39</v>
      </c>
      <c r="E19" s="24">
        <v>3</v>
      </c>
      <c r="F19" s="24">
        <v>4</v>
      </c>
      <c r="G19" s="25">
        <f>IF(D4="kg",MROUND(F8*0.75,2.5),MROUND(F8*0.75,5))</f>
        <v>205</v>
      </c>
      <c r="H19" s="26">
        <v>0.75</v>
      </c>
      <c r="I19" s="27" t="s">
        <v>25</v>
      </c>
      <c r="J19" s="24" t="s">
        <v>40</v>
      </c>
    </row>
    <row r="20" spans="2:10" ht="54" x14ac:dyDescent="0.15">
      <c r="B20" s="76"/>
      <c r="C20" s="68"/>
      <c r="D20" s="13" t="s">
        <v>41</v>
      </c>
      <c r="E20" s="13">
        <v>3</v>
      </c>
      <c r="F20" s="22" t="s">
        <v>21</v>
      </c>
      <c r="G20" s="19"/>
      <c r="H20" s="13">
        <v>7</v>
      </c>
      <c r="I20" s="21" t="s">
        <v>25</v>
      </c>
      <c r="J20" s="13" t="s">
        <v>42</v>
      </c>
    </row>
    <row r="21" spans="2:10" ht="54" x14ac:dyDescent="0.15">
      <c r="B21" s="76"/>
      <c r="C21" s="68"/>
      <c r="D21" s="13" t="s">
        <v>43</v>
      </c>
      <c r="E21" s="13">
        <v>2</v>
      </c>
      <c r="F21" s="22" t="s">
        <v>44</v>
      </c>
      <c r="G21" s="19"/>
      <c r="H21" s="13">
        <v>7</v>
      </c>
      <c r="I21" s="21" t="s">
        <v>29</v>
      </c>
      <c r="J21" s="13" t="s">
        <v>45</v>
      </c>
    </row>
    <row r="22" spans="2:10" ht="108" x14ac:dyDescent="0.15">
      <c r="B22" s="76"/>
      <c r="C22" s="68"/>
      <c r="D22" s="13" t="s">
        <v>46</v>
      </c>
      <c r="E22" s="13">
        <v>2</v>
      </c>
      <c r="F22" s="22" t="s">
        <v>47</v>
      </c>
      <c r="G22" s="19"/>
      <c r="H22" s="13">
        <v>8</v>
      </c>
      <c r="I22" s="21" t="s">
        <v>29</v>
      </c>
      <c r="J22" s="13" t="s">
        <v>48</v>
      </c>
    </row>
    <row r="23" spans="2:10" ht="108" x14ac:dyDescent="0.15">
      <c r="B23" s="76"/>
      <c r="C23" s="68"/>
      <c r="D23" s="13" t="s">
        <v>49</v>
      </c>
      <c r="E23" s="13">
        <v>3</v>
      </c>
      <c r="F23" s="13">
        <v>12</v>
      </c>
      <c r="G23" s="19"/>
      <c r="H23" s="13">
        <v>8</v>
      </c>
      <c r="I23" s="21" t="s">
        <v>29</v>
      </c>
      <c r="J23" s="13" t="s">
        <v>50</v>
      </c>
    </row>
    <row r="24" spans="2:10" ht="54" x14ac:dyDescent="0.15">
      <c r="B24" s="76"/>
      <c r="C24" s="68"/>
      <c r="D24" s="13" t="s">
        <v>51</v>
      </c>
      <c r="E24" s="13">
        <v>3</v>
      </c>
      <c r="F24" s="13">
        <v>15</v>
      </c>
      <c r="G24" s="19"/>
      <c r="H24" s="13">
        <v>8</v>
      </c>
      <c r="I24" s="21" t="s">
        <v>29</v>
      </c>
      <c r="J24" s="13" t="s">
        <v>52</v>
      </c>
    </row>
    <row r="25" spans="2:10" ht="81" x14ac:dyDescent="0.15">
      <c r="B25" s="76"/>
      <c r="C25" s="69"/>
      <c r="D25" s="28" t="s">
        <v>53</v>
      </c>
      <c r="E25" s="28">
        <v>3</v>
      </c>
      <c r="F25" s="28">
        <v>6</v>
      </c>
      <c r="G25" s="29"/>
      <c r="H25" s="28">
        <v>7</v>
      </c>
      <c r="I25" s="30" t="s">
        <v>29</v>
      </c>
      <c r="J25" s="28" t="s">
        <v>54</v>
      </c>
    </row>
    <row r="26" spans="2:10" ht="54" x14ac:dyDescent="0.15">
      <c r="B26" s="76"/>
      <c r="C26" s="41" t="s">
        <v>55</v>
      </c>
      <c r="D26" s="13" t="s">
        <v>56</v>
      </c>
      <c r="E26" s="13">
        <v>2</v>
      </c>
      <c r="F26" s="22" t="s">
        <v>57</v>
      </c>
      <c r="G26" s="19"/>
      <c r="H26" s="13">
        <v>5</v>
      </c>
      <c r="I26" s="21" t="s">
        <v>29</v>
      </c>
      <c r="J26" s="13" t="s">
        <v>58</v>
      </c>
    </row>
    <row r="27" spans="2:10" ht="27" x14ac:dyDescent="0.15">
      <c r="B27" s="76"/>
      <c r="C27" s="68"/>
      <c r="D27" s="13" t="s">
        <v>59</v>
      </c>
      <c r="E27" s="13">
        <v>4</v>
      </c>
      <c r="F27" s="22" t="s">
        <v>60</v>
      </c>
      <c r="G27" s="19"/>
      <c r="H27" s="13">
        <v>7</v>
      </c>
      <c r="I27" s="21" t="s">
        <v>25</v>
      </c>
      <c r="J27" s="13" t="s">
        <v>61</v>
      </c>
    </row>
    <row r="28" spans="2:10" ht="81" x14ac:dyDescent="0.15">
      <c r="B28" s="76"/>
      <c r="C28" s="68"/>
      <c r="D28" s="13" t="s">
        <v>62</v>
      </c>
      <c r="E28" s="13">
        <v>3</v>
      </c>
      <c r="F28" s="22" t="s">
        <v>21</v>
      </c>
      <c r="G28" s="19"/>
      <c r="H28" s="13">
        <v>7</v>
      </c>
      <c r="I28" s="21" t="s">
        <v>25</v>
      </c>
      <c r="J28" s="13" t="s">
        <v>63</v>
      </c>
    </row>
    <row r="29" spans="2:10" ht="27" x14ac:dyDescent="0.15">
      <c r="B29" s="76"/>
      <c r="C29" s="68"/>
      <c r="D29" s="13" t="s">
        <v>64</v>
      </c>
      <c r="E29" s="13">
        <v>3</v>
      </c>
      <c r="F29" s="22" t="s">
        <v>24</v>
      </c>
      <c r="G29" s="19"/>
      <c r="H29" s="13">
        <v>8</v>
      </c>
      <c r="I29" s="21" t="s">
        <v>29</v>
      </c>
      <c r="J29" s="13" t="s">
        <v>65</v>
      </c>
    </row>
    <row r="30" spans="2:10" ht="54" x14ac:dyDescent="0.15">
      <c r="B30" s="76"/>
      <c r="C30" s="68"/>
      <c r="D30" s="13" t="s">
        <v>66</v>
      </c>
      <c r="E30" s="13">
        <v>3</v>
      </c>
      <c r="F30" s="13">
        <v>20</v>
      </c>
      <c r="G30" s="19"/>
      <c r="H30" s="13">
        <v>8</v>
      </c>
      <c r="I30" s="21" t="s">
        <v>29</v>
      </c>
      <c r="J30" s="13" t="s">
        <v>67</v>
      </c>
    </row>
    <row r="31" spans="2:10" ht="54" x14ac:dyDescent="0.15">
      <c r="B31" s="76"/>
      <c r="C31" s="68"/>
      <c r="D31" s="13" t="s">
        <v>68</v>
      </c>
      <c r="E31" s="13">
        <v>3</v>
      </c>
      <c r="F31" s="13">
        <v>20</v>
      </c>
      <c r="G31" s="19"/>
      <c r="H31" s="13">
        <v>9</v>
      </c>
      <c r="I31" s="21" t="s">
        <v>32</v>
      </c>
      <c r="J31" s="13" t="s">
        <v>69</v>
      </c>
    </row>
    <row r="32" spans="2:10" ht="54" x14ac:dyDescent="0.15">
      <c r="B32" s="76"/>
      <c r="C32" s="68"/>
      <c r="D32" s="13" t="s">
        <v>70</v>
      </c>
      <c r="E32" s="13">
        <v>3</v>
      </c>
      <c r="F32" s="13">
        <v>15</v>
      </c>
      <c r="G32" s="19"/>
      <c r="H32" s="13">
        <v>9</v>
      </c>
      <c r="I32" s="21" t="s">
        <v>29</v>
      </c>
      <c r="J32" s="13" t="s">
        <v>71</v>
      </c>
    </row>
    <row r="33" spans="2:10" ht="54" x14ac:dyDescent="0.15">
      <c r="B33" s="76"/>
      <c r="C33" s="69"/>
      <c r="D33" s="13" t="s">
        <v>72</v>
      </c>
      <c r="E33" s="13">
        <v>3</v>
      </c>
      <c r="F33" s="13">
        <v>12</v>
      </c>
      <c r="G33" s="19"/>
      <c r="H33" s="13">
        <v>7</v>
      </c>
      <c r="I33" s="21" t="s">
        <v>29</v>
      </c>
      <c r="J33" s="13" t="s">
        <v>73</v>
      </c>
    </row>
    <row r="34" spans="2:10" ht="81" x14ac:dyDescent="0.15">
      <c r="B34" s="76"/>
      <c r="C34" s="41" t="s">
        <v>74</v>
      </c>
      <c r="D34" s="24" t="s">
        <v>75</v>
      </c>
      <c r="E34" s="24">
        <v>4</v>
      </c>
      <c r="F34" s="24">
        <v>4</v>
      </c>
      <c r="G34" s="25">
        <f>IF(D4="kg",MROUND(G8*0.725,2.5),MROUND(G8*0.725,5))</f>
        <v>365</v>
      </c>
      <c r="H34" s="31">
        <v>0.72499999999999998</v>
      </c>
      <c r="I34" s="27" t="s">
        <v>18</v>
      </c>
      <c r="J34" s="24" t="s">
        <v>76</v>
      </c>
    </row>
    <row r="35" spans="2:10" ht="54" x14ac:dyDescent="0.15">
      <c r="B35" s="76"/>
      <c r="C35" s="68"/>
      <c r="D35" s="13" t="s">
        <v>77</v>
      </c>
      <c r="E35" s="13">
        <v>3</v>
      </c>
      <c r="F35" s="22" t="s">
        <v>60</v>
      </c>
      <c r="G35" s="19"/>
      <c r="H35" s="22" t="s">
        <v>78</v>
      </c>
      <c r="I35" s="21" t="s">
        <v>25</v>
      </c>
      <c r="J35" s="13" t="s">
        <v>79</v>
      </c>
    </row>
    <row r="36" spans="2:10" ht="27" x14ac:dyDescent="0.15">
      <c r="B36" s="76"/>
      <c r="C36" s="68"/>
      <c r="D36" s="13" t="s">
        <v>80</v>
      </c>
      <c r="E36" s="13">
        <v>2</v>
      </c>
      <c r="F36" s="22" t="s">
        <v>24</v>
      </c>
      <c r="G36" s="19"/>
      <c r="H36" s="13">
        <v>7</v>
      </c>
      <c r="I36" s="21" t="s">
        <v>29</v>
      </c>
      <c r="J36" s="13" t="s">
        <v>81</v>
      </c>
    </row>
    <row r="37" spans="2:10" ht="54" x14ac:dyDescent="0.15">
      <c r="B37" s="76"/>
      <c r="C37" s="68"/>
      <c r="D37" s="13" t="s">
        <v>82</v>
      </c>
      <c r="E37" s="13">
        <v>3</v>
      </c>
      <c r="F37" s="13">
        <v>15</v>
      </c>
      <c r="G37" s="19"/>
      <c r="H37" s="13">
        <v>7</v>
      </c>
      <c r="I37" s="21" t="s">
        <v>29</v>
      </c>
      <c r="J37" s="13" t="s">
        <v>83</v>
      </c>
    </row>
    <row r="38" spans="2:10" ht="54" x14ac:dyDescent="0.15">
      <c r="B38" s="76"/>
      <c r="C38" s="68"/>
      <c r="D38" s="13" t="s">
        <v>84</v>
      </c>
      <c r="E38" s="13">
        <v>3</v>
      </c>
      <c r="F38" s="13">
        <v>12</v>
      </c>
      <c r="G38" s="19"/>
      <c r="H38" s="13">
        <v>7</v>
      </c>
      <c r="I38" s="21" t="s">
        <v>29</v>
      </c>
      <c r="J38" s="13" t="s">
        <v>85</v>
      </c>
    </row>
    <row r="39" spans="2:10" ht="54" x14ac:dyDescent="0.15">
      <c r="B39" s="76"/>
      <c r="C39" s="69"/>
      <c r="D39" s="28" t="s">
        <v>86</v>
      </c>
      <c r="E39" s="28">
        <v>3</v>
      </c>
      <c r="F39" s="28">
        <v>15</v>
      </c>
      <c r="G39" s="29"/>
      <c r="H39" s="28">
        <v>7</v>
      </c>
      <c r="I39" s="30" t="s">
        <v>29</v>
      </c>
      <c r="J39" s="28" t="s">
        <v>37</v>
      </c>
    </row>
    <row r="40" spans="2:10" ht="27" x14ac:dyDescent="0.15">
      <c r="B40" s="76"/>
      <c r="C40" s="41" t="s">
        <v>87</v>
      </c>
      <c r="D40" s="13" t="s">
        <v>88</v>
      </c>
      <c r="E40" s="13">
        <v>3</v>
      </c>
      <c r="F40" s="13">
        <v>6</v>
      </c>
      <c r="G40" s="19"/>
      <c r="H40" s="22" t="s">
        <v>89</v>
      </c>
      <c r="I40" s="21" t="s">
        <v>25</v>
      </c>
      <c r="J40" s="13" t="s">
        <v>90</v>
      </c>
    </row>
    <row r="41" spans="2:10" ht="81" x14ac:dyDescent="0.15">
      <c r="B41" s="76"/>
      <c r="C41" s="68"/>
      <c r="D41" s="13" t="s">
        <v>91</v>
      </c>
      <c r="E41" s="13">
        <v>3</v>
      </c>
      <c r="F41" s="13">
        <v>5</v>
      </c>
      <c r="G41" s="19">
        <f>IF(D4="kg",MROUND(H8*0.8,2.5),MROUND(H8*0.8,5))</f>
        <v>130</v>
      </c>
      <c r="H41" s="20">
        <v>0.8</v>
      </c>
      <c r="I41" s="21" t="s">
        <v>25</v>
      </c>
      <c r="J41" s="13" t="s">
        <v>92</v>
      </c>
    </row>
    <row r="42" spans="2:10" ht="54" x14ac:dyDescent="0.15">
      <c r="B42" s="76"/>
      <c r="C42" s="68"/>
      <c r="D42" s="13" t="s">
        <v>93</v>
      </c>
      <c r="E42" s="13">
        <v>3</v>
      </c>
      <c r="F42" s="22" t="s">
        <v>24</v>
      </c>
      <c r="G42" s="19"/>
      <c r="H42" s="13">
        <v>7</v>
      </c>
      <c r="I42" s="21" t="s">
        <v>29</v>
      </c>
      <c r="J42" s="13" t="s">
        <v>94</v>
      </c>
    </row>
    <row r="43" spans="2:10" ht="54" x14ac:dyDescent="0.15">
      <c r="B43" s="76"/>
      <c r="C43" s="68"/>
      <c r="D43" s="13" t="s">
        <v>95</v>
      </c>
      <c r="E43" s="13">
        <v>2</v>
      </c>
      <c r="F43" s="13">
        <v>15</v>
      </c>
      <c r="G43" s="19"/>
      <c r="H43" s="13">
        <v>7</v>
      </c>
      <c r="I43" s="21" t="s">
        <v>29</v>
      </c>
      <c r="J43" s="13" t="s">
        <v>96</v>
      </c>
    </row>
    <row r="44" spans="2:10" ht="54" x14ac:dyDescent="0.15">
      <c r="B44" s="76"/>
      <c r="C44" s="68"/>
      <c r="D44" s="13" t="s">
        <v>97</v>
      </c>
      <c r="E44" s="13">
        <v>3</v>
      </c>
      <c r="F44" s="13">
        <v>8</v>
      </c>
      <c r="G44" s="19"/>
      <c r="H44" s="13">
        <v>8</v>
      </c>
      <c r="I44" s="21" t="s">
        <v>29</v>
      </c>
      <c r="J44" s="13" t="s">
        <v>98</v>
      </c>
    </row>
    <row r="45" spans="2:10" ht="54" x14ac:dyDescent="0.15">
      <c r="B45" s="76"/>
      <c r="C45" s="68"/>
      <c r="D45" s="13" t="s">
        <v>99</v>
      </c>
      <c r="E45" s="13">
        <v>3</v>
      </c>
      <c r="F45" s="13">
        <v>20</v>
      </c>
      <c r="G45" s="19"/>
      <c r="H45" s="13">
        <v>8</v>
      </c>
      <c r="I45" s="21" t="s">
        <v>29</v>
      </c>
      <c r="J45" s="13" t="s">
        <v>100</v>
      </c>
    </row>
    <row r="46" spans="2:10" ht="54" x14ac:dyDescent="0.15">
      <c r="B46" s="76"/>
      <c r="C46" s="69"/>
      <c r="D46" s="13" t="s">
        <v>101</v>
      </c>
      <c r="E46" s="13">
        <v>3</v>
      </c>
      <c r="F46" s="13">
        <v>12</v>
      </c>
      <c r="G46" s="19"/>
      <c r="H46" s="13">
        <v>7</v>
      </c>
      <c r="I46" s="21" t="s">
        <v>29</v>
      </c>
      <c r="J46" s="13" t="s">
        <v>102</v>
      </c>
    </row>
    <row r="47" spans="2:10" ht="27" x14ac:dyDescent="0.15">
      <c r="B47" s="76"/>
      <c r="C47" s="41" t="s">
        <v>103</v>
      </c>
      <c r="D47" s="24" t="s">
        <v>104</v>
      </c>
      <c r="E47" s="24">
        <v>3</v>
      </c>
      <c r="F47" s="32" t="s">
        <v>24</v>
      </c>
      <c r="G47" s="25"/>
      <c r="H47" s="24">
        <v>8</v>
      </c>
      <c r="I47" s="27" t="s">
        <v>25</v>
      </c>
      <c r="J47" s="24" t="s">
        <v>105</v>
      </c>
    </row>
    <row r="48" spans="2:10" ht="54" x14ac:dyDescent="0.15">
      <c r="B48" s="76"/>
      <c r="C48" s="68"/>
      <c r="D48" s="13" t="s">
        <v>106</v>
      </c>
      <c r="E48" s="13">
        <v>3</v>
      </c>
      <c r="F48" s="13">
        <v>10</v>
      </c>
      <c r="G48" s="19"/>
      <c r="H48" s="13">
        <v>8</v>
      </c>
      <c r="I48" s="21" t="s">
        <v>32</v>
      </c>
      <c r="J48" s="13" t="s">
        <v>107</v>
      </c>
    </row>
    <row r="49" spans="2:10" ht="54" x14ac:dyDescent="0.15">
      <c r="B49" s="76"/>
      <c r="C49" s="68"/>
      <c r="D49" s="13" t="s">
        <v>108</v>
      </c>
      <c r="E49" s="13">
        <v>3</v>
      </c>
      <c r="F49" s="13">
        <v>10</v>
      </c>
      <c r="G49" s="19"/>
      <c r="H49" s="13">
        <v>8</v>
      </c>
      <c r="I49" s="21" t="s">
        <v>25</v>
      </c>
      <c r="J49" s="13" t="s">
        <v>109</v>
      </c>
    </row>
    <row r="50" spans="2:10" ht="54" x14ac:dyDescent="0.15">
      <c r="B50" s="76"/>
      <c r="C50" s="68"/>
      <c r="D50" s="13" t="s">
        <v>110</v>
      </c>
      <c r="E50" s="13">
        <v>3</v>
      </c>
      <c r="F50" s="13">
        <v>15</v>
      </c>
      <c r="G50" s="19"/>
      <c r="H50" s="13">
        <v>7</v>
      </c>
      <c r="I50" s="21" t="s">
        <v>29</v>
      </c>
      <c r="J50" s="13" t="s">
        <v>111</v>
      </c>
    </row>
    <row r="51" spans="2:10" ht="54" x14ac:dyDescent="0.15">
      <c r="B51" s="76"/>
      <c r="C51" s="68"/>
      <c r="D51" s="13" t="s">
        <v>112</v>
      </c>
      <c r="E51" s="13">
        <v>3</v>
      </c>
      <c r="F51" s="13">
        <v>15</v>
      </c>
      <c r="G51" s="19"/>
      <c r="H51" s="13">
        <v>8</v>
      </c>
      <c r="I51" s="21" t="s">
        <v>113</v>
      </c>
      <c r="J51" s="13" t="s">
        <v>114</v>
      </c>
    </row>
    <row r="52" spans="2:10" ht="27" x14ac:dyDescent="0.15">
      <c r="B52" s="76"/>
      <c r="C52" s="68"/>
      <c r="D52" s="13" t="s">
        <v>115</v>
      </c>
      <c r="E52" s="13">
        <v>3</v>
      </c>
      <c r="F52" s="13">
        <v>20</v>
      </c>
      <c r="G52" s="19"/>
      <c r="H52" s="13">
        <v>8</v>
      </c>
      <c r="I52" s="21" t="s">
        <v>32</v>
      </c>
      <c r="J52" s="13" t="s">
        <v>116</v>
      </c>
    </row>
    <row r="53" spans="2:10" ht="54" x14ac:dyDescent="0.15">
      <c r="B53" s="76"/>
      <c r="C53" s="68"/>
      <c r="D53" s="13" t="s">
        <v>117</v>
      </c>
      <c r="E53" s="13">
        <v>3</v>
      </c>
      <c r="F53" s="13">
        <v>12</v>
      </c>
      <c r="G53" s="19"/>
      <c r="H53" s="13">
        <v>7</v>
      </c>
      <c r="I53" s="21" t="s">
        <v>29</v>
      </c>
      <c r="J53" s="13" t="s">
        <v>118</v>
      </c>
    </row>
    <row r="54" spans="2:10" ht="54" x14ac:dyDescent="0.15">
      <c r="B54" s="77"/>
      <c r="C54" s="69"/>
      <c r="D54" s="28" t="s">
        <v>119</v>
      </c>
      <c r="E54" s="28">
        <v>3</v>
      </c>
      <c r="F54" s="28">
        <v>8</v>
      </c>
      <c r="G54" s="29"/>
      <c r="H54" s="28">
        <v>7</v>
      </c>
      <c r="I54" s="30" t="s">
        <v>29</v>
      </c>
      <c r="J54" s="28" t="s">
        <v>73</v>
      </c>
    </row>
    <row r="55" spans="2:10" ht="26" x14ac:dyDescent="0.2">
      <c r="C55" s="33"/>
      <c r="D55" s="13"/>
      <c r="E55" s="34"/>
      <c r="F55" s="35"/>
    </row>
    <row r="56" spans="2:10" ht="22" x14ac:dyDescent="0.15">
      <c r="B56" s="67" t="s">
        <v>120</v>
      </c>
      <c r="C56" s="15" t="s">
        <v>9</v>
      </c>
      <c r="D56" s="16" t="s">
        <v>10</v>
      </c>
      <c r="E56" s="16" t="s">
        <v>11</v>
      </c>
      <c r="F56" s="17" t="s">
        <v>12</v>
      </c>
      <c r="G56" s="16" t="str">
        <f>IF(D4 = "kg", "Load (kg)", "Load (lbs)")</f>
        <v>Load (lbs)</v>
      </c>
      <c r="H56" s="17" t="s">
        <v>13</v>
      </c>
      <c r="I56" s="17" t="s">
        <v>14</v>
      </c>
      <c r="J56" s="18" t="s">
        <v>15</v>
      </c>
    </row>
    <row r="57" spans="2:10" ht="54" x14ac:dyDescent="0.15">
      <c r="B57" s="74"/>
      <c r="C57" s="68" t="s">
        <v>16</v>
      </c>
      <c r="D57" s="13" t="s">
        <v>17</v>
      </c>
      <c r="E57" s="13">
        <v>3</v>
      </c>
      <c r="F57" s="13">
        <v>6</v>
      </c>
      <c r="G57" s="13">
        <f>IF(D4="kg",MROUND(E8*0.75,2.5),MROUND(E8*0.75,5))</f>
        <v>220</v>
      </c>
      <c r="H57" s="20">
        <v>0.75</v>
      </c>
      <c r="I57" s="21" t="s">
        <v>18</v>
      </c>
      <c r="J57" s="13" t="s">
        <v>19</v>
      </c>
    </row>
    <row r="58" spans="2:10" ht="54" x14ac:dyDescent="0.15">
      <c r="B58" s="74"/>
      <c r="C58" s="68"/>
      <c r="D58" s="13" t="s">
        <v>20</v>
      </c>
      <c r="E58" s="13">
        <v>2</v>
      </c>
      <c r="F58" s="22" t="s">
        <v>21</v>
      </c>
      <c r="G58" s="19"/>
      <c r="H58" s="23">
        <v>7</v>
      </c>
      <c r="I58" s="21" t="s">
        <v>18</v>
      </c>
      <c r="J58" s="13" t="s">
        <v>22</v>
      </c>
    </row>
    <row r="59" spans="2:10" ht="54" x14ac:dyDescent="0.15">
      <c r="B59" s="74"/>
      <c r="C59" s="68"/>
      <c r="D59" s="13" t="s">
        <v>23</v>
      </c>
      <c r="E59" s="13">
        <v>2</v>
      </c>
      <c r="F59" s="22" t="s">
        <v>24</v>
      </c>
      <c r="G59" s="19"/>
      <c r="H59" s="13">
        <v>6</v>
      </c>
      <c r="I59" s="21" t="s">
        <v>25</v>
      </c>
      <c r="J59" s="13" t="s">
        <v>26</v>
      </c>
    </row>
    <row r="60" spans="2:10" ht="54" x14ac:dyDescent="0.15">
      <c r="B60" s="74"/>
      <c r="C60" s="68"/>
      <c r="D60" s="13" t="s">
        <v>27</v>
      </c>
      <c r="E60" s="13">
        <v>2</v>
      </c>
      <c r="F60" s="22" t="s">
        <v>28</v>
      </c>
      <c r="G60" s="13"/>
      <c r="H60" s="13">
        <v>9</v>
      </c>
      <c r="I60" s="21" t="s">
        <v>29</v>
      </c>
      <c r="J60" s="13" t="s">
        <v>30</v>
      </c>
    </row>
    <row r="61" spans="2:10" ht="54" x14ac:dyDescent="0.15">
      <c r="B61" s="74"/>
      <c r="C61" s="68"/>
      <c r="D61" s="13" t="s">
        <v>31</v>
      </c>
      <c r="E61" s="13">
        <v>2</v>
      </c>
      <c r="F61" s="13">
        <v>15</v>
      </c>
      <c r="G61" s="13"/>
      <c r="H61" s="13">
        <v>9</v>
      </c>
      <c r="I61" s="21" t="s">
        <v>32</v>
      </c>
      <c r="J61" s="13" t="s">
        <v>33</v>
      </c>
    </row>
    <row r="62" spans="2:10" ht="54" x14ac:dyDescent="0.15">
      <c r="B62" s="74"/>
      <c r="C62" s="68"/>
      <c r="D62" s="13" t="s">
        <v>34</v>
      </c>
      <c r="E62" s="13">
        <v>2</v>
      </c>
      <c r="F62" s="13">
        <v>15</v>
      </c>
      <c r="G62" s="13"/>
      <c r="H62" s="13">
        <v>9</v>
      </c>
      <c r="I62" s="21" t="s">
        <v>29</v>
      </c>
      <c r="J62" s="13" t="s">
        <v>35</v>
      </c>
    </row>
    <row r="63" spans="2:10" ht="54" x14ac:dyDescent="0.15">
      <c r="B63" s="74"/>
      <c r="C63" s="69"/>
      <c r="D63" s="13" t="s">
        <v>36</v>
      </c>
      <c r="E63" s="13">
        <v>3</v>
      </c>
      <c r="F63" s="13">
        <v>10</v>
      </c>
      <c r="G63" s="13"/>
      <c r="H63" s="13">
        <v>7</v>
      </c>
      <c r="I63" s="21" t="s">
        <v>29</v>
      </c>
      <c r="J63" s="13" t="s">
        <v>37</v>
      </c>
    </row>
    <row r="64" spans="2:10" ht="54" x14ac:dyDescent="0.15">
      <c r="B64" s="74"/>
      <c r="C64" s="41" t="s">
        <v>38</v>
      </c>
      <c r="D64" s="24" t="s">
        <v>39</v>
      </c>
      <c r="E64" s="24">
        <v>3</v>
      </c>
      <c r="F64" s="24">
        <v>4</v>
      </c>
      <c r="G64" s="24">
        <f>IF(D4="kg",MROUND(F8*0.8,2.5),MROUND(F8*0.8,5))</f>
        <v>220</v>
      </c>
      <c r="H64" s="26">
        <v>0.8</v>
      </c>
      <c r="I64" s="27" t="s">
        <v>25</v>
      </c>
      <c r="J64" s="24" t="s">
        <v>40</v>
      </c>
    </row>
    <row r="65" spans="2:10" ht="54" x14ac:dyDescent="0.15">
      <c r="B65" s="74"/>
      <c r="C65" s="68"/>
      <c r="D65" s="13" t="s">
        <v>41</v>
      </c>
      <c r="E65" s="13">
        <v>3</v>
      </c>
      <c r="F65" s="22" t="s">
        <v>21</v>
      </c>
      <c r="G65" s="13"/>
      <c r="H65" s="13">
        <v>8</v>
      </c>
      <c r="I65" s="21" t="s">
        <v>25</v>
      </c>
      <c r="J65" s="13" t="s">
        <v>42</v>
      </c>
    </row>
    <row r="66" spans="2:10" ht="54" x14ac:dyDescent="0.15">
      <c r="B66" s="74"/>
      <c r="C66" s="68"/>
      <c r="D66" s="13" t="s">
        <v>43</v>
      </c>
      <c r="E66" s="13">
        <v>2</v>
      </c>
      <c r="F66" s="22" t="s">
        <v>44</v>
      </c>
      <c r="G66" s="13"/>
      <c r="H66" s="13">
        <v>7</v>
      </c>
      <c r="I66" s="21" t="s">
        <v>29</v>
      </c>
      <c r="J66" s="13" t="s">
        <v>45</v>
      </c>
    </row>
    <row r="67" spans="2:10" ht="108" x14ac:dyDescent="0.15">
      <c r="B67" s="74"/>
      <c r="C67" s="68"/>
      <c r="D67" s="13" t="s">
        <v>46</v>
      </c>
      <c r="E67" s="13">
        <v>2</v>
      </c>
      <c r="F67" s="22" t="s">
        <v>47</v>
      </c>
      <c r="G67" s="13"/>
      <c r="H67" s="13">
        <v>9</v>
      </c>
      <c r="I67" s="21" t="s">
        <v>29</v>
      </c>
      <c r="J67" s="13" t="s">
        <v>48</v>
      </c>
    </row>
    <row r="68" spans="2:10" ht="108" x14ac:dyDescent="0.15">
      <c r="B68" s="74"/>
      <c r="C68" s="68"/>
      <c r="D68" s="13" t="s">
        <v>49</v>
      </c>
      <c r="E68" s="13">
        <v>3</v>
      </c>
      <c r="F68" s="13">
        <v>12</v>
      </c>
      <c r="G68" s="13"/>
      <c r="H68" s="13">
        <v>9</v>
      </c>
      <c r="I68" s="21" t="s">
        <v>29</v>
      </c>
      <c r="J68" s="13" t="s">
        <v>50</v>
      </c>
    </row>
    <row r="69" spans="2:10" ht="54" x14ac:dyDescent="0.15">
      <c r="B69" s="74"/>
      <c r="C69" s="68"/>
      <c r="D69" s="13" t="s">
        <v>51</v>
      </c>
      <c r="E69" s="13">
        <v>3</v>
      </c>
      <c r="F69" s="13">
        <v>15</v>
      </c>
      <c r="G69" s="13"/>
      <c r="H69" s="13">
        <v>8</v>
      </c>
      <c r="I69" s="21" t="s">
        <v>29</v>
      </c>
      <c r="J69" s="13" t="s">
        <v>52</v>
      </c>
    </row>
    <row r="70" spans="2:10" ht="81" x14ac:dyDescent="0.15">
      <c r="B70" s="74"/>
      <c r="C70" s="69"/>
      <c r="D70" s="28" t="s">
        <v>53</v>
      </c>
      <c r="E70" s="28">
        <v>3</v>
      </c>
      <c r="F70" s="28">
        <v>6</v>
      </c>
      <c r="G70" s="28"/>
      <c r="H70" s="28">
        <v>8</v>
      </c>
      <c r="I70" s="30" t="s">
        <v>29</v>
      </c>
      <c r="J70" s="28" t="s">
        <v>54</v>
      </c>
    </row>
    <row r="71" spans="2:10" ht="54" x14ac:dyDescent="0.15">
      <c r="B71" s="74"/>
      <c r="C71" s="41" t="s">
        <v>55</v>
      </c>
      <c r="D71" s="24" t="s">
        <v>56</v>
      </c>
      <c r="E71" s="24">
        <v>2</v>
      </c>
      <c r="F71" s="32" t="s">
        <v>57</v>
      </c>
      <c r="G71" s="24"/>
      <c r="H71" s="24">
        <v>5</v>
      </c>
      <c r="I71" s="27" t="s">
        <v>29</v>
      </c>
      <c r="J71" s="24" t="s">
        <v>58</v>
      </c>
    </row>
    <row r="72" spans="2:10" ht="27" x14ac:dyDescent="0.15">
      <c r="B72" s="74"/>
      <c r="C72" s="68"/>
      <c r="D72" s="13" t="s">
        <v>59</v>
      </c>
      <c r="E72" s="13">
        <v>4</v>
      </c>
      <c r="F72" s="22" t="s">
        <v>60</v>
      </c>
      <c r="G72" s="13"/>
      <c r="H72" s="13">
        <v>8</v>
      </c>
      <c r="I72" s="21" t="s">
        <v>25</v>
      </c>
      <c r="J72" s="13" t="s">
        <v>61</v>
      </c>
    </row>
    <row r="73" spans="2:10" ht="81" x14ac:dyDescent="0.15">
      <c r="B73" s="74"/>
      <c r="C73" s="68"/>
      <c r="D73" s="13" t="s">
        <v>62</v>
      </c>
      <c r="E73" s="13">
        <v>3</v>
      </c>
      <c r="F73" s="22" t="s">
        <v>21</v>
      </c>
      <c r="G73" s="13"/>
      <c r="H73" s="13">
        <v>8</v>
      </c>
      <c r="I73" s="21" t="s">
        <v>25</v>
      </c>
      <c r="J73" s="13" t="s">
        <v>63</v>
      </c>
    </row>
    <row r="74" spans="2:10" ht="27" x14ac:dyDescent="0.15">
      <c r="B74" s="74"/>
      <c r="C74" s="68"/>
      <c r="D74" s="13" t="s">
        <v>64</v>
      </c>
      <c r="E74" s="13">
        <v>3</v>
      </c>
      <c r="F74" s="22" t="s">
        <v>24</v>
      </c>
      <c r="G74" s="13"/>
      <c r="H74" s="13">
        <v>9</v>
      </c>
      <c r="I74" s="21" t="s">
        <v>29</v>
      </c>
      <c r="J74" s="13" t="s">
        <v>65</v>
      </c>
    </row>
    <row r="75" spans="2:10" ht="54" x14ac:dyDescent="0.15">
      <c r="B75" s="74"/>
      <c r="C75" s="68"/>
      <c r="D75" s="13" t="s">
        <v>66</v>
      </c>
      <c r="E75" s="13">
        <v>3</v>
      </c>
      <c r="F75" s="13">
        <v>20</v>
      </c>
      <c r="G75" s="13"/>
      <c r="H75" s="13">
        <v>9</v>
      </c>
      <c r="I75" s="21" t="s">
        <v>29</v>
      </c>
      <c r="J75" s="13" t="s">
        <v>67</v>
      </c>
    </row>
    <row r="76" spans="2:10" ht="54" x14ac:dyDescent="0.15">
      <c r="B76" s="74"/>
      <c r="C76" s="68"/>
      <c r="D76" s="13" t="s">
        <v>68</v>
      </c>
      <c r="E76" s="13">
        <v>3</v>
      </c>
      <c r="F76" s="13">
        <v>20</v>
      </c>
      <c r="G76" s="13"/>
      <c r="H76" s="13">
        <v>10</v>
      </c>
      <c r="I76" s="21" t="s">
        <v>32</v>
      </c>
      <c r="J76" s="13" t="s">
        <v>69</v>
      </c>
    </row>
    <row r="77" spans="2:10" ht="54" x14ac:dyDescent="0.15">
      <c r="B77" s="74"/>
      <c r="C77" s="68"/>
      <c r="D77" s="13" t="s">
        <v>70</v>
      </c>
      <c r="E77" s="13">
        <v>3</v>
      </c>
      <c r="F77" s="13">
        <v>15</v>
      </c>
      <c r="G77" s="13"/>
      <c r="H77" s="13">
        <v>10</v>
      </c>
      <c r="I77" s="21" t="s">
        <v>29</v>
      </c>
      <c r="J77" s="13" t="s">
        <v>71</v>
      </c>
    </row>
    <row r="78" spans="2:10" ht="54" x14ac:dyDescent="0.15">
      <c r="B78" s="74"/>
      <c r="C78" s="69"/>
      <c r="D78" s="28" t="s">
        <v>72</v>
      </c>
      <c r="E78" s="28">
        <v>3</v>
      </c>
      <c r="F78" s="28">
        <v>12</v>
      </c>
      <c r="G78" s="28"/>
      <c r="H78" s="28">
        <v>8</v>
      </c>
      <c r="I78" s="30" t="s">
        <v>29</v>
      </c>
      <c r="J78" s="28" t="s">
        <v>73</v>
      </c>
    </row>
    <row r="79" spans="2:10" ht="81" x14ac:dyDescent="0.15">
      <c r="B79" s="74"/>
      <c r="C79" s="41" t="s">
        <v>74</v>
      </c>
      <c r="D79" s="24" t="s">
        <v>75</v>
      </c>
      <c r="E79" s="24">
        <v>4</v>
      </c>
      <c r="F79" s="24">
        <v>4</v>
      </c>
      <c r="G79" s="24">
        <f>IF(D4="kg",MROUND(G8*0.775,2.5),MROUND(G8*0.775,5))</f>
        <v>390</v>
      </c>
      <c r="H79" s="31">
        <v>0.77500000000000002</v>
      </c>
      <c r="I79" s="27" t="s">
        <v>18</v>
      </c>
      <c r="J79" s="24" t="s">
        <v>76</v>
      </c>
    </row>
    <row r="80" spans="2:10" ht="54" x14ac:dyDescent="0.15">
      <c r="B80" s="74"/>
      <c r="C80" s="68"/>
      <c r="D80" s="13" t="s">
        <v>77</v>
      </c>
      <c r="E80" s="13">
        <v>3</v>
      </c>
      <c r="F80" s="22" t="s">
        <v>60</v>
      </c>
      <c r="G80" s="13"/>
      <c r="H80" s="22" t="s">
        <v>78</v>
      </c>
      <c r="I80" s="21" t="s">
        <v>25</v>
      </c>
      <c r="J80" s="13" t="s">
        <v>79</v>
      </c>
    </row>
    <row r="81" spans="2:10" ht="27" x14ac:dyDescent="0.15">
      <c r="B81" s="74"/>
      <c r="C81" s="68"/>
      <c r="D81" s="13" t="s">
        <v>80</v>
      </c>
      <c r="E81" s="13">
        <v>2</v>
      </c>
      <c r="F81" s="22" t="s">
        <v>24</v>
      </c>
      <c r="G81" s="13"/>
      <c r="H81" s="13">
        <v>8</v>
      </c>
      <c r="I81" s="21" t="s">
        <v>29</v>
      </c>
      <c r="J81" s="13" t="s">
        <v>81</v>
      </c>
    </row>
    <row r="82" spans="2:10" ht="54" x14ac:dyDescent="0.15">
      <c r="B82" s="74"/>
      <c r="C82" s="68"/>
      <c r="D82" s="13" t="s">
        <v>82</v>
      </c>
      <c r="E82" s="13">
        <v>3</v>
      </c>
      <c r="F82" s="13">
        <v>15</v>
      </c>
      <c r="G82" s="13"/>
      <c r="H82" s="13">
        <v>8</v>
      </c>
      <c r="I82" s="21" t="s">
        <v>29</v>
      </c>
      <c r="J82" s="13" t="s">
        <v>83</v>
      </c>
    </row>
    <row r="83" spans="2:10" ht="54" x14ac:dyDescent="0.15">
      <c r="B83" s="74"/>
      <c r="C83" s="68"/>
      <c r="D83" s="13" t="s">
        <v>84</v>
      </c>
      <c r="E83" s="13">
        <v>3</v>
      </c>
      <c r="F83" s="13">
        <v>12</v>
      </c>
      <c r="G83" s="13"/>
      <c r="H83" s="13">
        <v>8</v>
      </c>
      <c r="I83" s="21" t="s">
        <v>29</v>
      </c>
      <c r="J83" s="13" t="s">
        <v>85</v>
      </c>
    </row>
    <row r="84" spans="2:10" ht="54" x14ac:dyDescent="0.15">
      <c r="B84" s="74"/>
      <c r="C84" s="69"/>
      <c r="D84" s="28" t="s">
        <v>86</v>
      </c>
      <c r="E84" s="28">
        <v>3</v>
      </c>
      <c r="F84" s="28">
        <v>15</v>
      </c>
      <c r="G84" s="28"/>
      <c r="H84" s="28">
        <v>8</v>
      </c>
      <c r="I84" s="30" t="s">
        <v>29</v>
      </c>
      <c r="J84" s="28" t="s">
        <v>37</v>
      </c>
    </row>
    <row r="85" spans="2:10" ht="27" x14ac:dyDescent="0.15">
      <c r="B85" s="74"/>
      <c r="C85" s="41" t="s">
        <v>87</v>
      </c>
      <c r="D85" s="13" t="s">
        <v>88</v>
      </c>
      <c r="E85" s="13">
        <v>3</v>
      </c>
      <c r="F85" s="13">
        <v>6</v>
      </c>
      <c r="G85" s="13"/>
      <c r="H85" s="22" t="s">
        <v>89</v>
      </c>
      <c r="I85" s="21" t="s">
        <v>25</v>
      </c>
      <c r="J85" s="13" t="s">
        <v>90</v>
      </c>
    </row>
    <row r="86" spans="2:10" ht="81" x14ac:dyDescent="0.15">
      <c r="B86" s="74"/>
      <c r="C86" s="68"/>
      <c r="D86" s="13" t="s">
        <v>91</v>
      </c>
      <c r="E86" s="13">
        <v>3</v>
      </c>
      <c r="F86" s="13">
        <v>5</v>
      </c>
      <c r="G86" s="13">
        <f>IF(D4="kg",MROUND(H8*0.8,2.5),MROUND(H8*0.8,5))</f>
        <v>130</v>
      </c>
      <c r="H86" s="20">
        <v>0.8</v>
      </c>
      <c r="I86" s="21" t="s">
        <v>25</v>
      </c>
      <c r="J86" s="13" t="s">
        <v>92</v>
      </c>
    </row>
    <row r="87" spans="2:10" ht="54" x14ac:dyDescent="0.15">
      <c r="B87" s="74"/>
      <c r="C87" s="68"/>
      <c r="D87" s="13" t="s">
        <v>93</v>
      </c>
      <c r="E87" s="13">
        <v>3</v>
      </c>
      <c r="F87" s="22" t="s">
        <v>24</v>
      </c>
      <c r="G87" s="13"/>
      <c r="H87" s="13">
        <v>8</v>
      </c>
      <c r="I87" s="21" t="s">
        <v>29</v>
      </c>
      <c r="J87" s="13" t="s">
        <v>94</v>
      </c>
    </row>
    <row r="88" spans="2:10" ht="54" x14ac:dyDescent="0.15">
      <c r="B88" s="74"/>
      <c r="C88" s="68"/>
      <c r="D88" s="13" t="s">
        <v>95</v>
      </c>
      <c r="E88" s="13">
        <v>2</v>
      </c>
      <c r="F88" s="13">
        <v>15</v>
      </c>
      <c r="G88" s="13"/>
      <c r="H88" s="13">
        <v>8</v>
      </c>
      <c r="I88" s="21" t="s">
        <v>29</v>
      </c>
      <c r="J88" s="13" t="s">
        <v>96</v>
      </c>
    </row>
    <row r="89" spans="2:10" ht="54" x14ac:dyDescent="0.15">
      <c r="B89" s="74"/>
      <c r="C89" s="68"/>
      <c r="D89" s="13" t="s">
        <v>97</v>
      </c>
      <c r="E89" s="13">
        <v>3</v>
      </c>
      <c r="F89" s="13">
        <v>8</v>
      </c>
      <c r="G89" s="13"/>
      <c r="H89" s="13">
        <v>9</v>
      </c>
      <c r="I89" s="21" t="s">
        <v>29</v>
      </c>
      <c r="J89" s="13" t="s">
        <v>98</v>
      </c>
    </row>
    <row r="90" spans="2:10" ht="54" x14ac:dyDescent="0.15">
      <c r="B90" s="74"/>
      <c r="C90" s="68"/>
      <c r="D90" s="13" t="s">
        <v>99</v>
      </c>
      <c r="E90" s="13">
        <v>3</v>
      </c>
      <c r="F90" s="13">
        <v>20</v>
      </c>
      <c r="G90" s="13"/>
      <c r="H90" s="13">
        <v>9</v>
      </c>
      <c r="I90" s="21" t="s">
        <v>29</v>
      </c>
      <c r="J90" s="13" t="s">
        <v>100</v>
      </c>
    </row>
    <row r="91" spans="2:10" ht="54" x14ac:dyDescent="0.15">
      <c r="B91" s="74"/>
      <c r="C91" s="69"/>
      <c r="D91" s="13" t="s">
        <v>101</v>
      </c>
      <c r="E91" s="13">
        <v>3</v>
      </c>
      <c r="F91" s="13">
        <v>12</v>
      </c>
      <c r="G91" s="13"/>
      <c r="H91" s="13">
        <v>8</v>
      </c>
      <c r="I91" s="21" t="s">
        <v>29</v>
      </c>
      <c r="J91" s="13" t="s">
        <v>102</v>
      </c>
    </row>
    <row r="92" spans="2:10" ht="27" x14ac:dyDescent="0.15">
      <c r="B92" s="74"/>
      <c r="C92" s="41" t="s">
        <v>103</v>
      </c>
      <c r="D92" s="24" t="s">
        <v>104</v>
      </c>
      <c r="E92" s="24">
        <v>3</v>
      </c>
      <c r="F92" s="32" t="s">
        <v>24</v>
      </c>
      <c r="G92" s="24"/>
      <c r="H92" s="24">
        <v>8</v>
      </c>
      <c r="I92" s="27" t="s">
        <v>25</v>
      </c>
      <c r="J92" s="24" t="s">
        <v>105</v>
      </c>
    </row>
    <row r="93" spans="2:10" ht="54" x14ac:dyDescent="0.15">
      <c r="B93" s="74"/>
      <c r="C93" s="68"/>
      <c r="D93" s="13" t="s">
        <v>106</v>
      </c>
      <c r="E93" s="13">
        <v>3</v>
      </c>
      <c r="F93" s="13">
        <v>10</v>
      </c>
      <c r="G93" s="13"/>
      <c r="H93" s="13">
        <v>8</v>
      </c>
      <c r="I93" s="21" t="s">
        <v>32</v>
      </c>
      <c r="J93" s="13" t="s">
        <v>107</v>
      </c>
    </row>
    <row r="94" spans="2:10" ht="54" x14ac:dyDescent="0.15">
      <c r="B94" s="74"/>
      <c r="C94" s="68"/>
      <c r="D94" s="13" t="s">
        <v>108</v>
      </c>
      <c r="E94" s="13">
        <v>3</v>
      </c>
      <c r="F94" s="13">
        <v>10</v>
      </c>
      <c r="G94" s="13"/>
      <c r="H94" s="13">
        <v>8</v>
      </c>
      <c r="I94" s="21" t="s">
        <v>25</v>
      </c>
      <c r="J94" s="13" t="s">
        <v>109</v>
      </c>
    </row>
    <row r="95" spans="2:10" ht="54" x14ac:dyDescent="0.15">
      <c r="B95" s="74"/>
      <c r="C95" s="68"/>
      <c r="D95" s="13" t="s">
        <v>110</v>
      </c>
      <c r="E95" s="13">
        <v>3</v>
      </c>
      <c r="F95" s="13">
        <v>15</v>
      </c>
      <c r="G95" s="13"/>
      <c r="H95" s="13">
        <v>7</v>
      </c>
      <c r="I95" s="21" t="s">
        <v>29</v>
      </c>
      <c r="J95" s="13" t="s">
        <v>111</v>
      </c>
    </row>
    <row r="96" spans="2:10" ht="54" x14ac:dyDescent="0.15">
      <c r="B96" s="74"/>
      <c r="C96" s="68"/>
      <c r="D96" s="13" t="s">
        <v>112</v>
      </c>
      <c r="E96" s="13">
        <v>3</v>
      </c>
      <c r="F96" s="13">
        <v>15</v>
      </c>
      <c r="G96" s="13"/>
      <c r="H96" s="13">
        <v>8</v>
      </c>
      <c r="I96" s="21" t="s">
        <v>113</v>
      </c>
      <c r="J96" s="13" t="s">
        <v>114</v>
      </c>
    </row>
    <row r="97" spans="2:10" ht="27" x14ac:dyDescent="0.15">
      <c r="B97" s="74"/>
      <c r="C97" s="68"/>
      <c r="D97" s="13" t="s">
        <v>115</v>
      </c>
      <c r="E97" s="13">
        <v>3</v>
      </c>
      <c r="F97" s="13">
        <v>20</v>
      </c>
      <c r="G97" s="13"/>
      <c r="H97" s="13">
        <v>8</v>
      </c>
      <c r="I97" s="21" t="s">
        <v>32</v>
      </c>
      <c r="J97" s="13" t="s">
        <v>116</v>
      </c>
    </row>
    <row r="98" spans="2:10" ht="54" x14ac:dyDescent="0.15">
      <c r="B98" s="74"/>
      <c r="C98" s="68"/>
      <c r="D98" s="13" t="s">
        <v>117</v>
      </c>
      <c r="E98" s="13">
        <v>3</v>
      </c>
      <c r="F98" s="13">
        <v>12</v>
      </c>
      <c r="G98" s="13"/>
      <c r="H98" s="13">
        <v>9</v>
      </c>
      <c r="I98" s="21" t="s">
        <v>29</v>
      </c>
      <c r="J98" s="13" t="s">
        <v>118</v>
      </c>
    </row>
    <row r="99" spans="2:10" ht="54" x14ac:dyDescent="0.15">
      <c r="B99" s="75"/>
      <c r="C99" s="69"/>
      <c r="D99" s="28" t="s">
        <v>119</v>
      </c>
      <c r="E99" s="28">
        <v>3</v>
      </c>
      <c r="F99" s="28">
        <v>8</v>
      </c>
      <c r="G99" s="28"/>
      <c r="H99" s="28">
        <v>9</v>
      </c>
      <c r="I99" s="30" t="s">
        <v>29</v>
      </c>
      <c r="J99" s="28" t="s">
        <v>73</v>
      </c>
    </row>
    <row r="100" spans="2:10" ht="26" x14ac:dyDescent="0.2">
      <c r="C100" s="33"/>
      <c r="D100" s="13"/>
      <c r="E100" s="34"/>
      <c r="F100" s="35"/>
    </row>
    <row r="101" spans="2:10" ht="22" x14ac:dyDescent="0.15">
      <c r="B101" s="49" t="s">
        <v>121</v>
      </c>
      <c r="C101" s="15" t="s">
        <v>9</v>
      </c>
      <c r="D101" s="16" t="s">
        <v>10</v>
      </c>
      <c r="E101" s="16" t="s">
        <v>11</v>
      </c>
      <c r="F101" s="17" t="s">
        <v>12</v>
      </c>
      <c r="G101" s="16" t="str">
        <f>IF(D4 = "kg", "Load (kg)", "Load (lbs)")</f>
        <v>Load (lbs)</v>
      </c>
      <c r="H101" s="17" t="s">
        <v>13</v>
      </c>
      <c r="I101" s="17" t="s">
        <v>14</v>
      </c>
      <c r="J101" s="18" t="s">
        <v>15</v>
      </c>
    </row>
    <row r="102" spans="2:10" ht="54" x14ac:dyDescent="0.15">
      <c r="B102" s="72"/>
      <c r="C102" s="68" t="s">
        <v>16</v>
      </c>
      <c r="D102" s="13" t="s">
        <v>17</v>
      </c>
      <c r="E102" s="13">
        <v>3</v>
      </c>
      <c r="F102" s="13">
        <v>5</v>
      </c>
      <c r="G102" s="13">
        <f>IF(D4="kg",MROUND(E8*0.775,2.5),MROUND(E8*0.775,5))</f>
        <v>230</v>
      </c>
      <c r="H102" s="36">
        <v>0.77500000000000002</v>
      </c>
      <c r="I102" s="21" t="s">
        <v>18</v>
      </c>
      <c r="J102" s="13" t="s">
        <v>19</v>
      </c>
    </row>
    <row r="103" spans="2:10" ht="54" x14ac:dyDescent="0.15">
      <c r="B103" s="72"/>
      <c r="C103" s="68"/>
      <c r="D103" s="13" t="s">
        <v>20</v>
      </c>
      <c r="E103" s="13">
        <v>2</v>
      </c>
      <c r="F103" s="22" t="s">
        <v>21</v>
      </c>
      <c r="G103" s="19"/>
      <c r="H103" s="23">
        <v>7</v>
      </c>
      <c r="I103" s="21" t="s">
        <v>18</v>
      </c>
      <c r="J103" s="13" t="s">
        <v>22</v>
      </c>
    </row>
    <row r="104" spans="2:10" ht="54" x14ac:dyDescent="0.15">
      <c r="B104" s="72"/>
      <c r="C104" s="68"/>
      <c r="D104" s="13" t="s">
        <v>23</v>
      </c>
      <c r="E104" s="13">
        <v>2</v>
      </c>
      <c r="F104" s="22" t="s">
        <v>24</v>
      </c>
      <c r="G104" s="19"/>
      <c r="H104" s="13">
        <v>6</v>
      </c>
      <c r="I104" s="21" t="s">
        <v>25</v>
      </c>
      <c r="J104" s="13" t="s">
        <v>26</v>
      </c>
    </row>
    <row r="105" spans="2:10" ht="54" x14ac:dyDescent="0.15">
      <c r="B105" s="72"/>
      <c r="C105" s="68"/>
      <c r="D105" s="13" t="s">
        <v>27</v>
      </c>
      <c r="E105" s="13">
        <v>2</v>
      </c>
      <c r="F105" s="22" t="s">
        <v>28</v>
      </c>
      <c r="G105" s="13"/>
      <c r="H105" s="13">
        <v>9</v>
      </c>
      <c r="I105" s="21" t="s">
        <v>29</v>
      </c>
      <c r="J105" s="13" t="s">
        <v>30</v>
      </c>
    </row>
    <row r="106" spans="2:10" ht="54" x14ac:dyDescent="0.15">
      <c r="B106" s="72"/>
      <c r="C106" s="68"/>
      <c r="D106" s="13" t="s">
        <v>31</v>
      </c>
      <c r="E106" s="13">
        <v>2</v>
      </c>
      <c r="F106" s="13">
        <v>15</v>
      </c>
      <c r="G106" s="13"/>
      <c r="H106" s="13">
        <v>9</v>
      </c>
      <c r="I106" s="21" t="s">
        <v>32</v>
      </c>
      <c r="J106" s="13" t="s">
        <v>33</v>
      </c>
    </row>
    <row r="107" spans="2:10" ht="54" x14ac:dyDescent="0.15">
      <c r="B107" s="72"/>
      <c r="C107" s="68"/>
      <c r="D107" s="13" t="s">
        <v>34</v>
      </c>
      <c r="E107" s="13">
        <v>2</v>
      </c>
      <c r="F107" s="13">
        <v>15</v>
      </c>
      <c r="G107" s="13"/>
      <c r="H107" s="13">
        <v>9</v>
      </c>
      <c r="I107" s="21" t="s">
        <v>29</v>
      </c>
      <c r="J107" s="13" t="s">
        <v>35</v>
      </c>
    </row>
    <row r="108" spans="2:10" ht="54" x14ac:dyDescent="0.15">
      <c r="B108" s="72"/>
      <c r="C108" s="69"/>
      <c r="D108" s="13" t="s">
        <v>36</v>
      </c>
      <c r="E108" s="13">
        <v>3</v>
      </c>
      <c r="F108" s="13">
        <v>10</v>
      </c>
      <c r="G108" s="13"/>
      <c r="H108" s="13">
        <v>7</v>
      </c>
      <c r="I108" s="21" t="s">
        <v>29</v>
      </c>
      <c r="J108" s="13" t="s">
        <v>37</v>
      </c>
    </row>
    <row r="109" spans="2:10" ht="54" x14ac:dyDescent="0.15">
      <c r="B109" s="72"/>
      <c r="C109" s="41" t="s">
        <v>38</v>
      </c>
      <c r="D109" s="24" t="s">
        <v>39</v>
      </c>
      <c r="E109" s="24">
        <v>3</v>
      </c>
      <c r="F109" s="24">
        <v>4</v>
      </c>
      <c r="G109" s="24">
        <f>IF(D4="kg",MROUND(F8*0.8,2.5),MROUND(F8*0.8,5))</f>
        <v>220</v>
      </c>
      <c r="H109" s="26">
        <v>0.8</v>
      </c>
      <c r="I109" s="37" t="s">
        <v>25</v>
      </c>
      <c r="J109" s="24" t="s">
        <v>40</v>
      </c>
    </row>
    <row r="110" spans="2:10" ht="54" x14ac:dyDescent="0.15">
      <c r="B110" s="72"/>
      <c r="C110" s="68"/>
      <c r="D110" s="13" t="s">
        <v>41</v>
      </c>
      <c r="E110" s="13">
        <v>3</v>
      </c>
      <c r="F110" s="22" t="s">
        <v>21</v>
      </c>
      <c r="G110" s="13"/>
      <c r="H110" s="13">
        <v>8</v>
      </c>
      <c r="I110" s="38" t="s">
        <v>25</v>
      </c>
      <c r="J110" s="13" t="s">
        <v>42</v>
      </c>
    </row>
    <row r="111" spans="2:10" ht="54" x14ac:dyDescent="0.15">
      <c r="B111" s="72"/>
      <c r="C111" s="68"/>
      <c r="D111" s="13" t="s">
        <v>43</v>
      </c>
      <c r="E111" s="13">
        <v>2</v>
      </c>
      <c r="F111" s="22" t="s">
        <v>44</v>
      </c>
      <c r="G111" s="13"/>
      <c r="H111" s="13">
        <v>7</v>
      </c>
      <c r="I111" s="38" t="s">
        <v>29</v>
      </c>
      <c r="J111" s="13" t="s">
        <v>45</v>
      </c>
    </row>
    <row r="112" spans="2:10" ht="108" x14ac:dyDescent="0.15">
      <c r="B112" s="72"/>
      <c r="C112" s="68"/>
      <c r="D112" s="13" t="s">
        <v>46</v>
      </c>
      <c r="E112" s="13">
        <v>2</v>
      </c>
      <c r="F112" s="22" t="s">
        <v>47</v>
      </c>
      <c r="G112" s="13"/>
      <c r="H112" s="13">
        <v>9</v>
      </c>
      <c r="I112" s="38" t="s">
        <v>29</v>
      </c>
      <c r="J112" s="13" t="s">
        <v>48</v>
      </c>
    </row>
    <row r="113" spans="2:10" ht="108" x14ac:dyDescent="0.15">
      <c r="B113" s="72"/>
      <c r="C113" s="68"/>
      <c r="D113" s="13" t="s">
        <v>49</v>
      </c>
      <c r="E113" s="13">
        <v>3</v>
      </c>
      <c r="F113" s="13">
        <v>12</v>
      </c>
      <c r="G113" s="13"/>
      <c r="H113" s="13">
        <v>9</v>
      </c>
      <c r="I113" s="38" t="s">
        <v>29</v>
      </c>
      <c r="J113" s="13" t="s">
        <v>50</v>
      </c>
    </row>
    <row r="114" spans="2:10" ht="54" x14ac:dyDescent="0.15">
      <c r="B114" s="72"/>
      <c r="C114" s="68"/>
      <c r="D114" s="13" t="s">
        <v>51</v>
      </c>
      <c r="E114" s="13">
        <v>3</v>
      </c>
      <c r="F114" s="13">
        <v>15</v>
      </c>
      <c r="G114" s="13"/>
      <c r="H114" s="13">
        <v>8</v>
      </c>
      <c r="I114" s="38" t="s">
        <v>29</v>
      </c>
      <c r="J114" s="13" t="s">
        <v>52</v>
      </c>
    </row>
    <row r="115" spans="2:10" ht="81" x14ac:dyDescent="0.15">
      <c r="B115" s="72"/>
      <c r="C115" s="69"/>
      <c r="D115" s="28" t="s">
        <v>53</v>
      </c>
      <c r="E115" s="28">
        <v>3</v>
      </c>
      <c r="F115" s="28">
        <v>6</v>
      </c>
      <c r="G115" s="28"/>
      <c r="H115" s="28">
        <v>8</v>
      </c>
      <c r="I115" s="39" t="s">
        <v>29</v>
      </c>
      <c r="J115" s="28" t="s">
        <v>54</v>
      </c>
    </row>
    <row r="116" spans="2:10" ht="54" x14ac:dyDescent="0.15">
      <c r="B116" s="72"/>
      <c r="C116" s="41" t="s">
        <v>55</v>
      </c>
      <c r="D116" s="13" t="s">
        <v>56</v>
      </c>
      <c r="E116" s="13">
        <v>2</v>
      </c>
      <c r="F116" s="22" t="s">
        <v>57</v>
      </c>
      <c r="G116" s="13"/>
      <c r="H116" s="13">
        <v>5</v>
      </c>
      <c r="I116" s="38" t="s">
        <v>29</v>
      </c>
      <c r="J116" s="13" t="s">
        <v>58</v>
      </c>
    </row>
    <row r="117" spans="2:10" ht="27" x14ac:dyDescent="0.15">
      <c r="B117" s="72"/>
      <c r="C117" s="68"/>
      <c r="D117" s="13" t="s">
        <v>59</v>
      </c>
      <c r="E117" s="13">
        <v>4</v>
      </c>
      <c r="F117" s="22" t="s">
        <v>60</v>
      </c>
      <c r="G117" s="13"/>
      <c r="H117" s="13">
        <v>8</v>
      </c>
      <c r="I117" s="38" t="s">
        <v>25</v>
      </c>
      <c r="J117" s="13" t="s">
        <v>61</v>
      </c>
    </row>
    <row r="118" spans="2:10" ht="81" x14ac:dyDescent="0.15">
      <c r="B118" s="72"/>
      <c r="C118" s="68"/>
      <c r="D118" s="13" t="s">
        <v>62</v>
      </c>
      <c r="E118" s="13">
        <v>3</v>
      </c>
      <c r="F118" s="22" t="s">
        <v>21</v>
      </c>
      <c r="G118" s="13"/>
      <c r="H118" s="13">
        <v>8</v>
      </c>
      <c r="I118" s="38" t="s">
        <v>25</v>
      </c>
      <c r="J118" s="13" t="s">
        <v>63</v>
      </c>
    </row>
    <row r="119" spans="2:10" ht="27" x14ac:dyDescent="0.15">
      <c r="B119" s="72"/>
      <c r="C119" s="68"/>
      <c r="D119" s="13" t="s">
        <v>64</v>
      </c>
      <c r="E119" s="13">
        <v>3</v>
      </c>
      <c r="F119" s="22" t="s">
        <v>24</v>
      </c>
      <c r="G119" s="13"/>
      <c r="H119" s="13">
        <v>9</v>
      </c>
      <c r="I119" s="38" t="s">
        <v>29</v>
      </c>
      <c r="J119" s="13" t="s">
        <v>65</v>
      </c>
    </row>
    <row r="120" spans="2:10" ht="54" x14ac:dyDescent="0.15">
      <c r="B120" s="72"/>
      <c r="C120" s="68"/>
      <c r="D120" s="13" t="s">
        <v>66</v>
      </c>
      <c r="E120" s="13">
        <v>3</v>
      </c>
      <c r="F120" s="13">
        <v>20</v>
      </c>
      <c r="G120" s="13"/>
      <c r="H120" s="13">
        <v>9</v>
      </c>
      <c r="I120" s="38" t="s">
        <v>29</v>
      </c>
      <c r="J120" s="13" t="s">
        <v>67</v>
      </c>
    </row>
    <row r="121" spans="2:10" ht="54" x14ac:dyDescent="0.15">
      <c r="B121" s="72"/>
      <c r="C121" s="68"/>
      <c r="D121" s="13" t="s">
        <v>68</v>
      </c>
      <c r="E121" s="13">
        <v>3</v>
      </c>
      <c r="F121" s="13">
        <v>20</v>
      </c>
      <c r="G121" s="13"/>
      <c r="H121" s="13">
        <v>10</v>
      </c>
      <c r="I121" s="38" t="s">
        <v>32</v>
      </c>
      <c r="J121" s="13" t="s">
        <v>69</v>
      </c>
    </row>
    <row r="122" spans="2:10" ht="54" x14ac:dyDescent="0.15">
      <c r="B122" s="72"/>
      <c r="C122" s="68"/>
      <c r="D122" s="13" t="s">
        <v>70</v>
      </c>
      <c r="E122" s="13">
        <v>3</v>
      </c>
      <c r="F122" s="13">
        <v>15</v>
      </c>
      <c r="G122" s="13"/>
      <c r="H122" s="13">
        <v>10</v>
      </c>
      <c r="I122" s="38" t="s">
        <v>29</v>
      </c>
      <c r="J122" s="13" t="s">
        <v>71</v>
      </c>
    </row>
    <row r="123" spans="2:10" ht="54" x14ac:dyDescent="0.15">
      <c r="B123" s="72"/>
      <c r="C123" s="69"/>
      <c r="D123" s="13" t="s">
        <v>72</v>
      </c>
      <c r="E123" s="13">
        <v>3</v>
      </c>
      <c r="F123" s="13">
        <v>12</v>
      </c>
      <c r="G123" s="13"/>
      <c r="H123" s="13">
        <v>8</v>
      </c>
      <c r="I123" s="38" t="s">
        <v>29</v>
      </c>
      <c r="J123" s="13" t="s">
        <v>73</v>
      </c>
    </row>
    <row r="124" spans="2:10" ht="81" x14ac:dyDescent="0.15">
      <c r="B124" s="72"/>
      <c r="C124" s="41" t="s">
        <v>74</v>
      </c>
      <c r="D124" s="24" t="s">
        <v>75</v>
      </c>
      <c r="E124" s="24">
        <v>4</v>
      </c>
      <c r="F124" s="24">
        <v>4</v>
      </c>
      <c r="G124" s="24">
        <f>IF(D4="kg",MROUND(G8*0.8,2.5),MROUND(G8*0.8,5))</f>
        <v>400</v>
      </c>
      <c r="H124" s="26">
        <v>0.8</v>
      </c>
      <c r="I124" s="37" t="s">
        <v>18</v>
      </c>
      <c r="J124" s="24" t="s">
        <v>76</v>
      </c>
    </row>
    <row r="125" spans="2:10" ht="54" x14ac:dyDescent="0.15">
      <c r="B125" s="72"/>
      <c r="C125" s="68"/>
      <c r="D125" s="13" t="s">
        <v>77</v>
      </c>
      <c r="E125" s="13">
        <v>3</v>
      </c>
      <c r="F125" s="22" t="s">
        <v>60</v>
      </c>
      <c r="G125" s="13"/>
      <c r="H125" s="22" t="s">
        <v>78</v>
      </c>
      <c r="I125" s="38" t="s">
        <v>25</v>
      </c>
      <c r="J125" s="13" t="s">
        <v>79</v>
      </c>
    </row>
    <row r="126" spans="2:10" ht="27" x14ac:dyDescent="0.15">
      <c r="B126" s="72"/>
      <c r="C126" s="68"/>
      <c r="D126" s="13" t="s">
        <v>80</v>
      </c>
      <c r="E126" s="13">
        <v>2</v>
      </c>
      <c r="F126" s="22" t="s">
        <v>24</v>
      </c>
      <c r="G126" s="13"/>
      <c r="H126" s="13">
        <v>8</v>
      </c>
      <c r="I126" s="38" t="s">
        <v>29</v>
      </c>
      <c r="J126" s="13" t="s">
        <v>81</v>
      </c>
    </row>
    <row r="127" spans="2:10" ht="54" x14ac:dyDescent="0.15">
      <c r="B127" s="72"/>
      <c r="C127" s="68"/>
      <c r="D127" s="13" t="s">
        <v>82</v>
      </c>
      <c r="E127" s="13">
        <v>3</v>
      </c>
      <c r="F127" s="13">
        <v>15</v>
      </c>
      <c r="G127" s="13"/>
      <c r="H127" s="13">
        <v>8</v>
      </c>
      <c r="I127" s="38" t="s">
        <v>29</v>
      </c>
      <c r="J127" s="13" t="s">
        <v>83</v>
      </c>
    </row>
    <row r="128" spans="2:10" ht="54" x14ac:dyDescent="0.15">
      <c r="B128" s="72"/>
      <c r="C128" s="68"/>
      <c r="D128" s="13" t="s">
        <v>84</v>
      </c>
      <c r="E128" s="13">
        <v>3</v>
      </c>
      <c r="F128" s="13">
        <v>12</v>
      </c>
      <c r="G128" s="13"/>
      <c r="H128" s="13">
        <v>8</v>
      </c>
      <c r="I128" s="38" t="s">
        <v>29</v>
      </c>
      <c r="J128" s="13" t="s">
        <v>85</v>
      </c>
    </row>
    <row r="129" spans="2:10" ht="54" x14ac:dyDescent="0.15">
      <c r="B129" s="72"/>
      <c r="C129" s="69"/>
      <c r="D129" s="28" t="s">
        <v>86</v>
      </c>
      <c r="E129" s="28">
        <v>3</v>
      </c>
      <c r="F129" s="28">
        <v>15</v>
      </c>
      <c r="G129" s="28"/>
      <c r="H129" s="28">
        <v>8</v>
      </c>
      <c r="I129" s="39" t="s">
        <v>29</v>
      </c>
      <c r="J129" s="28" t="s">
        <v>37</v>
      </c>
    </row>
    <row r="130" spans="2:10" ht="27" x14ac:dyDescent="0.15">
      <c r="B130" s="72"/>
      <c r="C130" s="41" t="s">
        <v>87</v>
      </c>
      <c r="D130" s="13" t="s">
        <v>88</v>
      </c>
      <c r="E130" s="13">
        <v>3</v>
      </c>
      <c r="F130" s="13">
        <v>6</v>
      </c>
      <c r="G130" s="13"/>
      <c r="H130" s="22" t="s">
        <v>89</v>
      </c>
      <c r="I130" s="38" t="s">
        <v>25</v>
      </c>
      <c r="J130" s="13" t="s">
        <v>90</v>
      </c>
    </row>
    <row r="131" spans="2:10" ht="81" x14ac:dyDescent="0.15">
      <c r="B131" s="72"/>
      <c r="C131" s="68"/>
      <c r="D131" s="13" t="s">
        <v>91</v>
      </c>
      <c r="E131" s="13">
        <v>3</v>
      </c>
      <c r="F131" s="13">
        <v>5</v>
      </c>
      <c r="G131" s="13">
        <f>IF(D4="kg",MROUND(H8*0.825,2.5),MROUND(H8*0.825,5))</f>
        <v>135</v>
      </c>
      <c r="H131" s="36">
        <v>0.82499999999999996</v>
      </c>
      <c r="I131" s="38" t="s">
        <v>25</v>
      </c>
      <c r="J131" s="13" t="s">
        <v>92</v>
      </c>
    </row>
    <row r="132" spans="2:10" ht="54" x14ac:dyDescent="0.15">
      <c r="B132" s="72"/>
      <c r="C132" s="68"/>
      <c r="D132" s="13" t="s">
        <v>93</v>
      </c>
      <c r="E132" s="13">
        <v>3</v>
      </c>
      <c r="F132" s="22" t="s">
        <v>24</v>
      </c>
      <c r="G132" s="13"/>
      <c r="H132" s="13">
        <v>8</v>
      </c>
      <c r="I132" s="38" t="s">
        <v>29</v>
      </c>
      <c r="J132" s="13" t="s">
        <v>94</v>
      </c>
    </row>
    <row r="133" spans="2:10" ht="54" x14ac:dyDescent="0.15">
      <c r="B133" s="72"/>
      <c r="C133" s="68"/>
      <c r="D133" s="13" t="s">
        <v>95</v>
      </c>
      <c r="E133" s="13">
        <v>2</v>
      </c>
      <c r="F133" s="13">
        <v>15</v>
      </c>
      <c r="G133" s="13"/>
      <c r="H133" s="13">
        <v>8</v>
      </c>
      <c r="I133" s="38" t="s">
        <v>29</v>
      </c>
      <c r="J133" s="13" t="s">
        <v>96</v>
      </c>
    </row>
    <row r="134" spans="2:10" ht="54" x14ac:dyDescent="0.15">
      <c r="B134" s="72"/>
      <c r="C134" s="68"/>
      <c r="D134" s="13" t="s">
        <v>97</v>
      </c>
      <c r="E134" s="13">
        <v>3</v>
      </c>
      <c r="F134" s="13">
        <v>8</v>
      </c>
      <c r="G134" s="13"/>
      <c r="H134" s="13">
        <v>9</v>
      </c>
      <c r="I134" s="38" t="s">
        <v>29</v>
      </c>
      <c r="J134" s="13" t="s">
        <v>98</v>
      </c>
    </row>
    <row r="135" spans="2:10" ht="54" x14ac:dyDescent="0.15">
      <c r="B135" s="72"/>
      <c r="C135" s="68"/>
      <c r="D135" s="13" t="s">
        <v>99</v>
      </c>
      <c r="E135" s="13">
        <v>3</v>
      </c>
      <c r="F135" s="13">
        <v>20</v>
      </c>
      <c r="G135" s="13"/>
      <c r="H135" s="13">
        <v>9</v>
      </c>
      <c r="I135" s="38" t="s">
        <v>29</v>
      </c>
      <c r="J135" s="13" t="s">
        <v>100</v>
      </c>
    </row>
    <row r="136" spans="2:10" ht="54" x14ac:dyDescent="0.15">
      <c r="B136" s="72"/>
      <c r="C136" s="69"/>
      <c r="D136" s="13" t="s">
        <v>101</v>
      </c>
      <c r="E136" s="13">
        <v>3</v>
      </c>
      <c r="F136" s="13">
        <v>12</v>
      </c>
      <c r="G136" s="13"/>
      <c r="H136" s="13">
        <v>8</v>
      </c>
      <c r="I136" s="38" t="s">
        <v>29</v>
      </c>
      <c r="J136" s="13" t="s">
        <v>102</v>
      </c>
    </row>
    <row r="137" spans="2:10" ht="27" x14ac:dyDescent="0.15">
      <c r="B137" s="72"/>
      <c r="C137" s="41" t="s">
        <v>103</v>
      </c>
      <c r="D137" s="24" t="s">
        <v>104</v>
      </c>
      <c r="E137" s="24">
        <v>3</v>
      </c>
      <c r="F137" s="32" t="s">
        <v>24</v>
      </c>
      <c r="G137" s="24"/>
      <c r="H137" s="24">
        <v>8</v>
      </c>
      <c r="I137" s="37" t="s">
        <v>25</v>
      </c>
      <c r="J137" s="24" t="s">
        <v>105</v>
      </c>
    </row>
    <row r="138" spans="2:10" ht="54" x14ac:dyDescent="0.15">
      <c r="B138" s="72"/>
      <c r="C138" s="68"/>
      <c r="D138" s="13" t="s">
        <v>106</v>
      </c>
      <c r="E138" s="13">
        <v>3</v>
      </c>
      <c r="F138" s="13">
        <v>10</v>
      </c>
      <c r="G138" s="13"/>
      <c r="H138" s="13">
        <v>8</v>
      </c>
      <c r="I138" s="38" t="s">
        <v>32</v>
      </c>
      <c r="J138" s="13" t="s">
        <v>107</v>
      </c>
    </row>
    <row r="139" spans="2:10" ht="54" x14ac:dyDescent="0.15">
      <c r="B139" s="72"/>
      <c r="C139" s="68"/>
      <c r="D139" s="13" t="s">
        <v>108</v>
      </c>
      <c r="E139" s="13">
        <v>3</v>
      </c>
      <c r="F139" s="13">
        <v>10</v>
      </c>
      <c r="G139" s="13"/>
      <c r="H139" s="13">
        <v>8</v>
      </c>
      <c r="I139" s="38" t="s">
        <v>25</v>
      </c>
      <c r="J139" s="13" t="s">
        <v>109</v>
      </c>
    </row>
    <row r="140" spans="2:10" ht="54" x14ac:dyDescent="0.15">
      <c r="B140" s="72"/>
      <c r="C140" s="68"/>
      <c r="D140" s="13" t="s">
        <v>110</v>
      </c>
      <c r="E140" s="13">
        <v>3</v>
      </c>
      <c r="F140" s="13">
        <v>15</v>
      </c>
      <c r="G140" s="13"/>
      <c r="H140" s="13">
        <v>7</v>
      </c>
      <c r="I140" s="38" t="s">
        <v>29</v>
      </c>
      <c r="J140" s="13" t="s">
        <v>111</v>
      </c>
    </row>
    <row r="141" spans="2:10" ht="54" x14ac:dyDescent="0.15">
      <c r="B141" s="72"/>
      <c r="C141" s="68"/>
      <c r="D141" s="13" t="s">
        <v>112</v>
      </c>
      <c r="E141" s="13">
        <v>3</v>
      </c>
      <c r="F141" s="13">
        <v>15</v>
      </c>
      <c r="G141" s="13"/>
      <c r="H141" s="13">
        <v>8</v>
      </c>
      <c r="I141" s="38" t="s">
        <v>113</v>
      </c>
      <c r="J141" s="13" t="s">
        <v>114</v>
      </c>
    </row>
    <row r="142" spans="2:10" ht="27" x14ac:dyDescent="0.15">
      <c r="B142" s="72"/>
      <c r="C142" s="68"/>
      <c r="D142" s="13" t="s">
        <v>115</v>
      </c>
      <c r="E142" s="13">
        <v>3</v>
      </c>
      <c r="F142" s="13">
        <v>20</v>
      </c>
      <c r="G142" s="13"/>
      <c r="H142" s="13">
        <v>8</v>
      </c>
      <c r="I142" s="38" t="s">
        <v>32</v>
      </c>
      <c r="J142" s="13" t="s">
        <v>116</v>
      </c>
    </row>
    <row r="143" spans="2:10" ht="54" x14ac:dyDescent="0.15">
      <c r="B143" s="72"/>
      <c r="C143" s="68"/>
      <c r="D143" s="13" t="s">
        <v>117</v>
      </c>
      <c r="E143" s="13">
        <v>3</v>
      </c>
      <c r="F143" s="13">
        <v>12</v>
      </c>
      <c r="G143" s="13"/>
      <c r="H143" s="13">
        <v>7</v>
      </c>
      <c r="I143" s="38" t="s">
        <v>29</v>
      </c>
      <c r="J143" s="13" t="s">
        <v>118</v>
      </c>
    </row>
    <row r="144" spans="2:10" ht="54" x14ac:dyDescent="0.15">
      <c r="B144" s="73"/>
      <c r="C144" s="69"/>
      <c r="D144" s="28" t="s">
        <v>119</v>
      </c>
      <c r="E144" s="28">
        <v>3</v>
      </c>
      <c r="F144" s="28">
        <v>8</v>
      </c>
      <c r="G144" s="28"/>
      <c r="H144" s="28">
        <v>7</v>
      </c>
      <c r="I144" s="39" t="s">
        <v>29</v>
      </c>
      <c r="J144" s="28" t="s">
        <v>73</v>
      </c>
    </row>
    <row r="145" spans="2:10" ht="26" x14ac:dyDescent="0.2">
      <c r="C145" s="33"/>
      <c r="D145" s="13"/>
      <c r="E145" s="13"/>
      <c r="F145" s="35"/>
    </row>
    <row r="146" spans="2:10" ht="22" x14ac:dyDescent="0.15">
      <c r="B146" s="52" t="s">
        <v>122</v>
      </c>
      <c r="C146" s="15" t="s">
        <v>9</v>
      </c>
      <c r="D146" s="16" t="s">
        <v>10</v>
      </c>
      <c r="E146" s="16" t="s">
        <v>11</v>
      </c>
      <c r="F146" s="17" t="s">
        <v>12</v>
      </c>
      <c r="G146" s="16" t="str">
        <f>IF(D4 = "kg", "Load (kg)", "Load (lbs)")</f>
        <v>Load (lbs)</v>
      </c>
      <c r="H146" s="17" t="s">
        <v>13</v>
      </c>
      <c r="I146" s="17" t="s">
        <v>14</v>
      </c>
      <c r="J146" s="18" t="s">
        <v>15</v>
      </c>
    </row>
    <row r="147" spans="2:10" ht="54" x14ac:dyDescent="0.15">
      <c r="B147" s="70"/>
      <c r="C147" s="68" t="s">
        <v>16</v>
      </c>
      <c r="D147" s="13" t="s">
        <v>17</v>
      </c>
      <c r="E147" s="13">
        <v>3</v>
      </c>
      <c r="F147" s="13">
        <v>6</v>
      </c>
      <c r="G147" s="13">
        <f>IF(D4="kg",MROUND(E8*0.8,2.5),MROUND(E8*0.8,5))</f>
        <v>235</v>
      </c>
      <c r="H147" s="20">
        <v>0.8</v>
      </c>
      <c r="I147" s="21" t="s">
        <v>18</v>
      </c>
      <c r="J147" s="13" t="s">
        <v>19</v>
      </c>
    </row>
    <row r="148" spans="2:10" ht="54" x14ac:dyDescent="0.15">
      <c r="B148" s="70"/>
      <c r="C148" s="68"/>
      <c r="D148" s="13" t="s">
        <v>20</v>
      </c>
      <c r="E148" s="13">
        <v>2</v>
      </c>
      <c r="F148" s="22" t="s">
        <v>21</v>
      </c>
      <c r="G148" s="19"/>
      <c r="H148" s="23">
        <v>7</v>
      </c>
      <c r="I148" s="21" t="s">
        <v>18</v>
      </c>
      <c r="J148" s="13" t="s">
        <v>22</v>
      </c>
    </row>
    <row r="149" spans="2:10" ht="54" x14ac:dyDescent="0.15">
      <c r="B149" s="70"/>
      <c r="C149" s="68"/>
      <c r="D149" s="13" t="s">
        <v>23</v>
      </c>
      <c r="E149" s="13">
        <v>2</v>
      </c>
      <c r="F149" s="22" t="s">
        <v>24</v>
      </c>
      <c r="G149" s="19"/>
      <c r="H149" s="13">
        <v>6</v>
      </c>
      <c r="I149" s="21" t="s">
        <v>25</v>
      </c>
      <c r="J149" s="13" t="s">
        <v>26</v>
      </c>
    </row>
    <row r="150" spans="2:10" ht="54" x14ac:dyDescent="0.15">
      <c r="B150" s="70"/>
      <c r="C150" s="68"/>
      <c r="D150" s="13" t="s">
        <v>27</v>
      </c>
      <c r="E150" s="13">
        <v>2</v>
      </c>
      <c r="F150" s="22" t="s">
        <v>28</v>
      </c>
      <c r="G150" s="13"/>
      <c r="H150" s="13">
        <v>9</v>
      </c>
      <c r="I150" s="21" t="s">
        <v>29</v>
      </c>
      <c r="J150" s="13" t="s">
        <v>30</v>
      </c>
    </row>
    <row r="151" spans="2:10" ht="54" x14ac:dyDescent="0.15">
      <c r="B151" s="70"/>
      <c r="C151" s="68"/>
      <c r="D151" s="13" t="s">
        <v>31</v>
      </c>
      <c r="E151" s="13">
        <v>2</v>
      </c>
      <c r="F151" s="13">
        <v>15</v>
      </c>
      <c r="G151" s="13"/>
      <c r="H151" s="13">
        <v>9</v>
      </c>
      <c r="I151" s="21" t="s">
        <v>32</v>
      </c>
      <c r="J151" s="13" t="s">
        <v>33</v>
      </c>
    </row>
    <row r="152" spans="2:10" ht="54" x14ac:dyDescent="0.15">
      <c r="B152" s="70"/>
      <c r="C152" s="68"/>
      <c r="D152" s="13" t="s">
        <v>34</v>
      </c>
      <c r="E152" s="13">
        <v>2</v>
      </c>
      <c r="F152" s="13">
        <v>15</v>
      </c>
      <c r="G152" s="13"/>
      <c r="H152" s="13">
        <v>9</v>
      </c>
      <c r="I152" s="21" t="s">
        <v>29</v>
      </c>
      <c r="J152" s="13" t="s">
        <v>35</v>
      </c>
    </row>
    <row r="153" spans="2:10" ht="54" x14ac:dyDescent="0.15">
      <c r="B153" s="70"/>
      <c r="C153" s="69"/>
      <c r="D153" s="13" t="s">
        <v>36</v>
      </c>
      <c r="E153" s="13">
        <v>3</v>
      </c>
      <c r="F153" s="13">
        <v>10</v>
      </c>
      <c r="G153" s="13"/>
      <c r="H153" s="13">
        <v>7</v>
      </c>
      <c r="I153" s="21" t="s">
        <v>29</v>
      </c>
      <c r="J153" s="13" t="s">
        <v>37</v>
      </c>
    </row>
    <row r="154" spans="2:10" ht="54" x14ac:dyDescent="0.15">
      <c r="B154" s="70"/>
      <c r="C154" s="41" t="s">
        <v>38</v>
      </c>
      <c r="D154" s="24" t="s">
        <v>39</v>
      </c>
      <c r="E154" s="24">
        <v>3</v>
      </c>
      <c r="F154" s="24">
        <v>4</v>
      </c>
      <c r="G154" s="24">
        <f>IF(D4="kg",MROUND(F8*0.85,2.5),MROUND(F8*0.85,5))</f>
        <v>235</v>
      </c>
      <c r="H154" s="26">
        <v>0.85</v>
      </c>
      <c r="I154" s="27" t="s">
        <v>25</v>
      </c>
      <c r="J154" s="24" t="s">
        <v>40</v>
      </c>
    </row>
    <row r="155" spans="2:10" ht="54" x14ac:dyDescent="0.15">
      <c r="B155" s="70"/>
      <c r="C155" s="68"/>
      <c r="D155" s="13" t="s">
        <v>41</v>
      </c>
      <c r="E155" s="13">
        <v>3</v>
      </c>
      <c r="F155" s="22" t="s">
        <v>21</v>
      </c>
      <c r="G155" s="13"/>
      <c r="H155" s="13">
        <v>8</v>
      </c>
      <c r="I155" s="21" t="s">
        <v>25</v>
      </c>
      <c r="J155" s="13" t="s">
        <v>42</v>
      </c>
    </row>
    <row r="156" spans="2:10" ht="54" x14ac:dyDescent="0.15">
      <c r="B156" s="70"/>
      <c r="C156" s="68"/>
      <c r="D156" s="13" t="s">
        <v>43</v>
      </c>
      <c r="E156" s="13">
        <v>2</v>
      </c>
      <c r="F156" s="22" t="s">
        <v>44</v>
      </c>
      <c r="G156" s="13"/>
      <c r="H156" s="13">
        <v>7</v>
      </c>
      <c r="I156" s="21" t="s">
        <v>29</v>
      </c>
      <c r="J156" s="13" t="s">
        <v>45</v>
      </c>
    </row>
    <row r="157" spans="2:10" ht="108" x14ac:dyDescent="0.15">
      <c r="B157" s="70"/>
      <c r="C157" s="68"/>
      <c r="D157" s="13" t="s">
        <v>46</v>
      </c>
      <c r="E157" s="13">
        <v>2</v>
      </c>
      <c r="F157" s="22" t="s">
        <v>47</v>
      </c>
      <c r="G157" s="13"/>
      <c r="H157" s="13">
        <v>9</v>
      </c>
      <c r="I157" s="21" t="s">
        <v>29</v>
      </c>
      <c r="J157" s="13" t="s">
        <v>48</v>
      </c>
    </row>
    <row r="158" spans="2:10" ht="108" x14ac:dyDescent="0.15">
      <c r="B158" s="70"/>
      <c r="C158" s="68"/>
      <c r="D158" s="13" t="s">
        <v>49</v>
      </c>
      <c r="E158" s="13">
        <v>3</v>
      </c>
      <c r="F158" s="13">
        <v>12</v>
      </c>
      <c r="G158" s="13"/>
      <c r="H158" s="13">
        <v>9</v>
      </c>
      <c r="I158" s="21" t="s">
        <v>29</v>
      </c>
      <c r="J158" s="13" t="s">
        <v>50</v>
      </c>
    </row>
    <row r="159" spans="2:10" ht="54" x14ac:dyDescent="0.15">
      <c r="B159" s="70"/>
      <c r="C159" s="68"/>
      <c r="D159" s="13" t="s">
        <v>51</v>
      </c>
      <c r="E159" s="13">
        <v>3</v>
      </c>
      <c r="F159" s="13">
        <v>15</v>
      </c>
      <c r="G159" s="13"/>
      <c r="H159" s="13">
        <v>8</v>
      </c>
      <c r="I159" s="21" t="s">
        <v>29</v>
      </c>
      <c r="J159" s="13" t="s">
        <v>52</v>
      </c>
    </row>
    <row r="160" spans="2:10" ht="81" x14ac:dyDescent="0.15">
      <c r="B160" s="70"/>
      <c r="C160" s="69"/>
      <c r="D160" s="28" t="s">
        <v>53</v>
      </c>
      <c r="E160" s="28">
        <v>3</v>
      </c>
      <c r="F160" s="28">
        <v>6</v>
      </c>
      <c r="G160" s="28"/>
      <c r="H160" s="28">
        <v>8</v>
      </c>
      <c r="I160" s="30" t="s">
        <v>29</v>
      </c>
      <c r="J160" s="28" t="s">
        <v>54</v>
      </c>
    </row>
    <row r="161" spans="2:10" ht="54" x14ac:dyDescent="0.15">
      <c r="B161" s="70"/>
      <c r="C161" s="41" t="s">
        <v>55</v>
      </c>
      <c r="D161" s="13" t="s">
        <v>56</v>
      </c>
      <c r="E161" s="13">
        <v>2</v>
      </c>
      <c r="F161" s="22" t="s">
        <v>57</v>
      </c>
      <c r="G161" s="13"/>
      <c r="H161" s="13">
        <v>5</v>
      </c>
      <c r="I161" s="21" t="s">
        <v>29</v>
      </c>
      <c r="J161" s="13" t="s">
        <v>58</v>
      </c>
    </row>
    <row r="162" spans="2:10" ht="27" x14ac:dyDescent="0.15">
      <c r="B162" s="70"/>
      <c r="C162" s="68"/>
      <c r="D162" s="13" t="s">
        <v>59</v>
      </c>
      <c r="E162" s="13">
        <v>4</v>
      </c>
      <c r="F162" s="22" t="s">
        <v>60</v>
      </c>
      <c r="G162" s="13"/>
      <c r="H162" s="13">
        <v>8</v>
      </c>
      <c r="I162" s="21" t="s">
        <v>25</v>
      </c>
      <c r="J162" s="13" t="s">
        <v>61</v>
      </c>
    </row>
    <row r="163" spans="2:10" ht="81" x14ac:dyDescent="0.15">
      <c r="B163" s="70"/>
      <c r="C163" s="68"/>
      <c r="D163" s="13" t="s">
        <v>62</v>
      </c>
      <c r="E163" s="13">
        <v>3</v>
      </c>
      <c r="F163" s="22" t="s">
        <v>21</v>
      </c>
      <c r="G163" s="13"/>
      <c r="H163" s="13">
        <v>8</v>
      </c>
      <c r="I163" s="21" t="s">
        <v>25</v>
      </c>
      <c r="J163" s="13" t="s">
        <v>63</v>
      </c>
    </row>
    <row r="164" spans="2:10" ht="27" x14ac:dyDescent="0.15">
      <c r="B164" s="70"/>
      <c r="C164" s="68"/>
      <c r="D164" s="13" t="s">
        <v>64</v>
      </c>
      <c r="E164" s="13">
        <v>3</v>
      </c>
      <c r="F164" s="22" t="s">
        <v>24</v>
      </c>
      <c r="G164" s="13"/>
      <c r="H164" s="13">
        <v>9</v>
      </c>
      <c r="I164" s="21" t="s">
        <v>29</v>
      </c>
      <c r="J164" s="13" t="s">
        <v>65</v>
      </c>
    </row>
    <row r="165" spans="2:10" ht="54" x14ac:dyDescent="0.15">
      <c r="B165" s="70"/>
      <c r="C165" s="68"/>
      <c r="D165" s="13" t="s">
        <v>66</v>
      </c>
      <c r="E165" s="13">
        <v>3</v>
      </c>
      <c r="F165" s="13">
        <v>20</v>
      </c>
      <c r="G165" s="13"/>
      <c r="H165" s="13">
        <v>9</v>
      </c>
      <c r="I165" s="21" t="s">
        <v>29</v>
      </c>
      <c r="J165" s="13" t="s">
        <v>67</v>
      </c>
    </row>
    <row r="166" spans="2:10" ht="54" x14ac:dyDescent="0.15">
      <c r="B166" s="70"/>
      <c r="C166" s="68"/>
      <c r="D166" s="13" t="s">
        <v>68</v>
      </c>
      <c r="E166" s="13">
        <v>3</v>
      </c>
      <c r="F166" s="13">
        <v>20</v>
      </c>
      <c r="G166" s="13"/>
      <c r="H166" s="13">
        <v>10</v>
      </c>
      <c r="I166" s="21" t="s">
        <v>32</v>
      </c>
      <c r="J166" s="13" t="s">
        <v>69</v>
      </c>
    </row>
    <row r="167" spans="2:10" ht="54" x14ac:dyDescent="0.15">
      <c r="B167" s="70"/>
      <c r="C167" s="68"/>
      <c r="D167" s="13" t="s">
        <v>70</v>
      </c>
      <c r="E167" s="13">
        <v>3</v>
      </c>
      <c r="F167" s="13">
        <v>15</v>
      </c>
      <c r="G167" s="13"/>
      <c r="H167" s="13">
        <v>10</v>
      </c>
      <c r="I167" s="21" t="s">
        <v>29</v>
      </c>
      <c r="J167" s="13" t="s">
        <v>71</v>
      </c>
    </row>
    <row r="168" spans="2:10" ht="54" x14ac:dyDescent="0.15">
      <c r="B168" s="70"/>
      <c r="C168" s="69"/>
      <c r="D168" s="13" t="s">
        <v>72</v>
      </c>
      <c r="E168" s="13">
        <v>3</v>
      </c>
      <c r="F168" s="13">
        <v>12</v>
      </c>
      <c r="G168" s="13"/>
      <c r="H168" s="13">
        <v>8</v>
      </c>
      <c r="I168" s="21" t="s">
        <v>29</v>
      </c>
      <c r="J168" s="13" t="s">
        <v>73</v>
      </c>
    </row>
    <row r="169" spans="2:10" ht="81" x14ac:dyDescent="0.15">
      <c r="B169" s="70"/>
      <c r="C169" s="41" t="s">
        <v>74</v>
      </c>
      <c r="D169" s="24" t="s">
        <v>75</v>
      </c>
      <c r="E169" s="24">
        <v>4</v>
      </c>
      <c r="F169" s="24">
        <v>4</v>
      </c>
      <c r="G169" s="24">
        <f>IF(D4="kg",MROUND(G8*0.825,2.5),MROUND(G8*0.825,5))</f>
        <v>415</v>
      </c>
      <c r="H169" s="31">
        <v>0.82499999999999996</v>
      </c>
      <c r="I169" s="27" t="s">
        <v>18</v>
      </c>
      <c r="J169" s="24" t="s">
        <v>76</v>
      </c>
    </row>
    <row r="170" spans="2:10" ht="54" x14ac:dyDescent="0.15">
      <c r="B170" s="70"/>
      <c r="C170" s="68"/>
      <c r="D170" s="13" t="s">
        <v>77</v>
      </c>
      <c r="E170" s="13">
        <v>3</v>
      </c>
      <c r="F170" s="22" t="s">
        <v>60</v>
      </c>
      <c r="G170" s="13"/>
      <c r="H170" s="22" t="s">
        <v>78</v>
      </c>
      <c r="I170" s="21" t="s">
        <v>25</v>
      </c>
      <c r="J170" s="13" t="s">
        <v>79</v>
      </c>
    </row>
    <row r="171" spans="2:10" ht="27" x14ac:dyDescent="0.15">
      <c r="B171" s="70"/>
      <c r="C171" s="68"/>
      <c r="D171" s="13" t="s">
        <v>80</v>
      </c>
      <c r="E171" s="13">
        <v>2</v>
      </c>
      <c r="F171" s="22" t="s">
        <v>24</v>
      </c>
      <c r="G171" s="13"/>
      <c r="H171" s="13">
        <v>8</v>
      </c>
      <c r="I171" s="21" t="s">
        <v>29</v>
      </c>
      <c r="J171" s="13" t="s">
        <v>81</v>
      </c>
    </row>
    <row r="172" spans="2:10" ht="54" x14ac:dyDescent="0.15">
      <c r="B172" s="70"/>
      <c r="C172" s="68"/>
      <c r="D172" s="13" t="s">
        <v>82</v>
      </c>
      <c r="E172" s="13">
        <v>3</v>
      </c>
      <c r="F172" s="13">
        <v>15</v>
      </c>
      <c r="G172" s="13"/>
      <c r="H172" s="13">
        <v>8</v>
      </c>
      <c r="I172" s="21" t="s">
        <v>29</v>
      </c>
      <c r="J172" s="13" t="s">
        <v>83</v>
      </c>
    </row>
    <row r="173" spans="2:10" ht="54" x14ac:dyDescent="0.15">
      <c r="B173" s="70"/>
      <c r="C173" s="68"/>
      <c r="D173" s="13" t="s">
        <v>84</v>
      </c>
      <c r="E173" s="13">
        <v>3</v>
      </c>
      <c r="F173" s="13">
        <v>12</v>
      </c>
      <c r="G173" s="13"/>
      <c r="H173" s="13">
        <v>8</v>
      </c>
      <c r="I173" s="21" t="s">
        <v>29</v>
      </c>
      <c r="J173" s="13" t="s">
        <v>85</v>
      </c>
    </row>
    <row r="174" spans="2:10" ht="54" x14ac:dyDescent="0.15">
      <c r="B174" s="70"/>
      <c r="C174" s="69"/>
      <c r="D174" s="28" t="s">
        <v>86</v>
      </c>
      <c r="E174" s="28">
        <v>3</v>
      </c>
      <c r="F174" s="28">
        <v>15</v>
      </c>
      <c r="G174" s="28"/>
      <c r="H174" s="28">
        <v>8</v>
      </c>
      <c r="I174" s="30" t="s">
        <v>29</v>
      </c>
      <c r="J174" s="28" t="s">
        <v>37</v>
      </c>
    </row>
    <row r="175" spans="2:10" ht="27" x14ac:dyDescent="0.15">
      <c r="B175" s="70"/>
      <c r="C175" s="41" t="s">
        <v>87</v>
      </c>
      <c r="D175" s="13" t="s">
        <v>88</v>
      </c>
      <c r="E175" s="13">
        <v>3</v>
      </c>
      <c r="F175" s="13">
        <v>6</v>
      </c>
      <c r="G175" s="13"/>
      <c r="H175" s="22" t="s">
        <v>89</v>
      </c>
      <c r="I175" s="21" t="s">
        <v>25</v>
      </c>
      <c r="J175" s="13" t="s">
        <v>90</v>
      </c>
    </row>
    <row r="176" spans="2:10" ht="81" x14ac:dyDescent="0.15">
      <c r="B176" s="70"/>
      <c r="C176" s="68"/>
      <c r="D176" s="13" t="s">
        <v>91</v>
      </c>
      <c r="E176" s="13">
        <v>3</v>
      </c>
      <c r="F176" s="13">
        <v>5</v>
      </c>
      <c r="G176" s="13">
        <f>IF(D4="kg",MROUND(H8*0.825,2.5),MROUND(H8*0.825,5))</f>
        <v>135</v>
      </c>
      <c r="H176" s="36">
        <v>0.82499999999999996</v>
      </c>
      <c r="I176" s="21" t="s">
        <v>25</v>
      </c>
      <c r="J176" s="13" t="s">
        <v>92</v>
      </c>
    </row>
    <row r="177" spans="2:10" ht="54" x14ac:dyDescent="0.15">
      <c r="B177" s="70"/>
      <c r="C177" s="68"/>
      <c r="D177" s="13" t="s">
        <v>93</v>
      </c>
      <c r="E177" s="13">
        <v>3</v>
      </c>
      <c r="F177" s="22" t="s">
        <v>24</v>
      </c>
      <c r="G177" s="13"/>
      <c r="H177" s="13">
        <v>8</v>
      </c>
      <c r="I177" s="21" t="s">
        <v>29</v>
      </c>
      <c r="J177" s="13" t="s">
        <v>94</v>
      </c>
    </row>
    <row r="178" spans="2:10" ht="54" x14ac:dyDescent="0.15">
      <c r="B178" s="70"/>
      <c r="C178" s="68"/>
      <c r="D178" s="13" t="s">
        <v>95</v>
      </c>
      <c r="E178" s="13">
        <v>2</v>
      </c>
      <c r="F178" s="13">
        <v>15</v>
      </c>
      <c r="G178" s="13"/>
      <c r="H178" s="13">
        <v>8</v>
      </c>
      <c r="I178" s="21" t="s">
        <v>29</v>
      </c>
      <c r="J178" s="13" t="s">
        <v>96</v>
      </c>
    </row>
    <row r="179" spans="2:10" ht="54" x14ac:dyDescent="0.15">
      <c r="B179" s="70"/>
      <c r="C179" s="68"/>
      <c r="D179" s="13" t="s">
        <v>97</v>
      </c>
      <c r="E179" s="13">
        <v>3</v>
      </c>
      <c r="F179" s="13">
        <v>8</v>
      </c>
      <c r="G179" s="13"/>
      <c r="H179" s="13">
        <v>9</v>
      </c>
      <c r="I179" s="21" t="s">
        <v>29</v>
      </c>
      <c r="J179" s="13" t="s">
        <v>98</v>
      </c>
    </row>
    <row r="180" spans="2:10" ht="54" x14ac:dyDescent="0.15">
      <c r="B180" s="70"/>
      <c r="C180" s="68"/>
      <c r="D180" s="13" t="s">
        <v>99</v>
      </c>
      <c r="E180" s="13">
        <v>3</v>
      </c>
      <c r="F180" s="13">
        <v>20</v>
      </c>
      <c r="G180" s="13"/>
      <c r="H180" s="13">
        <v>9</v>
      </c>
      <c r="I180" s="21" t="s">
        <v>29</v>
      </c>
      <c r="J180" s="13" t="s">
        <v>100</v>
      </c>
    </row>
    <row r="181" spans="2:10" ht="54" x14ac:dyDescent="0.15">
      <c r="B181" s="70"/>
      <c r="C181" s="69"/>
      <c r="D181" s="13" t="s">
        <v>101</v>
      </c>
      <c r="E181" s="13">
        <v>3</v>
      </c>
      <c r="F181" s="13">
        <v>12</v>
      </c>
      <c r="G181" s="13"/>
      <c r="H181" s="13">
        <v>8</v>
      </c>
      <c r="I181" s="21" t="s">
        <v>29</v>
      </c>
      <c r="J181" s="13" t="s">
        <v>102</v>
      </c>
    </row>
    <row r="182" spans="2:10" ht="27" x14ac:dyDescent="0.15">
      <c r="B182" s="70"/>
      <c r="C182" s="41" t="s">
        <v>103</v>
      </c>
      <c r="D182" s="24" t="s">
        <v>104</v>
      </c>
      <c r="E182" s="24">
        <v>3</v>
      </c>
      <c r="F182" s="32" t="s">
        <v>24</v>
      </c>
      <c r="G182" s="24"/>
      <c r="H182" s="24">
        <v>8</v>
      </c>
      <c r="I182" s="27" t="s">
        <v>25</v>
      </c>
      <c r="J182" s="24" t="s">
        <v>105</v>
      </c>
    </row>
    <row r="183" spans="2:10" ht="54" x14ac:dyDescent="0.15">
      <c r="B183" s="70"/>
      <c r="C183" s="68"/>
      <c r="D183" s="13" t="s">
        <v>106</v>
      </c>
      <c r="E183" s="13">
        <v>3</v>
      </c>
      <c r="F183" s="13">
        <v>10</v>
      </c>
      <c r="G183" s="13"/>
      <c r="H183" s="13">
        <v>8</v>
      </c>
      <c r="I183" s="21" t="s">
        <v>32</v>
      </c>
      <c r="J183" s="13" t="s">
        <v>107</v>
      </c>
    </row>
    <row r="184" spans="2:10" ht="54" x14ac:dyDescent="0.15">
      <c r="B184" s="70"/>
      <c r="C184" s="68"/>
      <c r="D184" s="13" t="s">
        <v>108</v>
      </c>
      <c r="E184" s="13">
        <v>3</v>
      </c>
      <c r="F184" s="13">
        <v>10</v>
      </c>
      <c r="G184" s="13"/>
      <c r="H184" s="13">
        <v>8</v>
      </c>
      <c r="I184" s="21" t="s">
        <v>25</v>
      </c>
      <c r="J184" s="13" t="s">
        <v>109</v>
      </c>
    </row>
    <row r="185" spans="2:10" ht="54" x14ac:dyDescent="0.15">
      <c r="B185" s="70"/>
      <c r="C185" s="68"/>
      <c r="D185" s="13" t="s">
        <v>110</v>
      </c>
      <c r="E185" s="13">
        <v>3</v>
      </c>
      <c r="F185" s="13">
        <v>15</v>
      </c>
      <c r="G185" s="13"/>
      <c r="H185" s="13">
        <v>7</v>
      </c>
      <c r="I185" s="21" t="s">
        <v>29</v>
      </c>
      <c r="J185" s="13" t="s">
        <v>111</v>
      </c>
    </row>
    <row r="186" spans="2:10" ht="54" x14ac:dyDescent="0.15">
      <c r="B186" s="70"/>
      <c r="C186" s="68"/>
      <c r="D186" s="13" t="s">
        <v>112</v>
      </c>
      <c r="E186" s="13">
        <v>3</v>
      </c>
      <c r="F186" s="13">
        <v>15</v>
      </c>
      <c r="G186" s="13"/>
      <c r="H186" s="13">
        <v>8</v>
      </c>
      <c r="I186" s="21" t="s">
        <v>113</v>
      </c>
      <c r="J186" s="13" t="s">
        <v>114</v>
      </c>
    </row>
    <row r="187" spans="2:10" ht="27" x14ac:dyDescent="0.15">
      <c r="B187" s="70"/>
      <c r="C187" s="68"/>
      <c r="D187" s="13" t="s">
        <v>115</v>
      </c>
      <c r="E187" s="13">
        <v>3</v>
      </c>
      <c r="F187" s="13">
        <v>20</v>
      </c>
      <c r="G187" s="13"/>
      <c r="H187" s="13">
        <v>8</v>
      </c>
      <c r="I187" s="21" t="s">
        <v>32</v>
      </c>
      <c r="J187" s="13" t="s">
        <v>116</v>
      </c>
    </row>
    <row r="188" spans="2:10" ht="54" x14ac:dyDescent="0.15">
      <c r="B188" s="70"/>
      <c r="C188" s="68"/>
      <c r="D188" s="13" t="s">
        <v>117</v>
      </c>
      <c r="E188" s="13">
        <v>3</v>
      </c>
      <c r="F188" s="13">
        <v>12</v>
      </c>
      <c r="G188" s="13"/>
      <c r="H188" s="13">
        <v>7</v>
      </c>
      <c r="I188" s="21" t="s">
        <v>29</v>
      </c>
      <c r="J188" s="13" t="s">
        <v>118</v>
      </c>
    </row>
    <row r="189" spans="2:10" ht="54" x14ac:dyDescent="0.15">
      <c r="B189" s="71"/>
      <c r="C189" s="69"/>
      <c r="D189" s="28" t="s">
        <v>119</v>
      </c>
      <c r="E189" s="28">
        <v>3</v>
      </c>
      <c r="F189" s="28">
        <v>8</v>
      </c>
      <c r="G189" s="28"/>
      <c r="H189" s="28">
        <v>7</v>
      </c>
      <c r="I189" s="30" t="s">
        <v>29</v>
      </c>
      <c r="J189" s="28" t="s">
        <v>73</v>
      </c>
    </row>
    <row r="190" spans="2:10" ht="26" x14ac:dyDescent="0.2">
      <c r="C190" s="33"/>
      <c r="D190" s="13"/>
      <c r="E190" s="34"/>
      <c r="F190" s="35"/>
    </row>
    <row r="191" spans="2:10" ht="22" x14ac:dyDescent="0.15">
      <c r="B191" s="49" t="s">
        <v>123</v>
      </c>
      <c r="C191" s="15" t="s">
        <v>9</v>
      </c>
      <c r="D191" s="16" t="s">
        <v>10</v>
      </c>
      <c r="E191" s="16" t="s">
        <v>11</v>
      </c>
      <c r="F191" s="17" t="s">
        <v>12</v>
      </c>
      <c r="G191" s="16" t="str">
        <f>IF(D4 = "kg", "Load (kg)", "Load (lbs)")</f>
        <v>Load (lbs)</v>
      </c>
      <c r="H191" s="17" t="s">
        <v>13</v>
      </c>
      <c r="I191" s="17" t="s">
        <v>14</v>
      </c>
      <c r="J191" s="18" t="s">
        <v>15</v>
      </c>
    </row>
    <row r="192" spans="2:10" ht="54" x14ac:dyDescent="0.15">
      <c r="B192" s="72"/>
      <c r="C192" s="68" t="s">
        <v>16</v>
      </c>
      <c r="D192" s="13" t="s">
        <v>17</v>
      </c>
      <c r="E192" s="13">
        <v>4</v>
      </c>
      <c r="F192" s="13">
        <v>5</v>
      </c>
      <c r="G192" s="13">
        <f>IF(D4="kg",MROUND(E8*0.725,2.5),MROUND(E8*0.725,5))</f>
        <v>215</v>
      </c>
      <c r="H192" s="36">
        <v>0.72499999999999998</v>
      </c>
      <c r="I192" s="21" t="s">
        <v>18</v>
      </c>
      <c r="J192" s="13" t="s">
        <v>19</v>
      </c>
    </row>
    <row r="193" spans="2:10" ht="54" x14ac:dyDescent="0.15">
      <c r="B193" s="72"/>
      <c r="C193" s="68"/>
      <c r="D193" s="13" t="s">
        <v>20</v>
      </c>
      <c r="E193" s="13">
        <v>2</v>
      </c>
      <c r="F193" s="22" t="s">
        <v>21</v>
      </c>
      <c r="G193" s="19"/>
      <c r="H193" s="23">
        <v>7</v>
      </c>
      <c r="I193" s="21" t="s">
        <v>18</v>
      </c>
      <c r="J193" s="13" t="s">
        <v>22</v>
      </c>
    </row>
    <row r="194" spans="2:10" ht="54" x14ac:dyDescent="0.15">
      <c r="B194" s="72"/>
      <c r="C194" s="68"/>
      <c r="D194" s="13" t="s">
        <v>23</v>
      </c>
      <c r="E194" s="13">
        <v>2</v>
      </c>
      <c r="F194" s="22" t="s">
        <v>24</v>
      </c>
      <c r="G194" s="19"/>
      <c r="H194" s="13">
        <v>6</v>
      </c>
      <c r="I194" s="21" t="s">
        <v>25</v>
      </c>
      <c r="J194" s="13" t="s">
        <v>26</v>
      </c>
    </row>
    <row r="195" spans="2:10" ht="54" x14ac:dyDescent="0.15">
      <c r="B195" s="72"/>
      <c r="C195" s="68"/>
      <c r="D195" s="13" t="s">
        <v>27</v>
      </c>
      <c r="E195" s="13">
        <v>2</v>
      </c>
      <c r="F195" s="22" t="s">
        <v>28</v>
      </c>
      <c r="G195" s="13"/>
      <c r="H195" s="13">
        <v>9</v>
      </c>
      <c r="I195" s="21" t="s">
        <v>29</v>
      </c>
      <c r="J195" s="13" t="s">
        <v>30</v>
      </c>
    </row>
    <row r="196" spans="2:10" ht="54" x14ac:dyDescent="0.15">
      <c r="B196" s="72"/>
      <c r="C196" s="68"/>
      <c r="D196" s="13" t="s">
        <v>31</v>
      </c>
      <c r="E196" s="13">
        <v>2</v>
      </c>
      <c r="F196" s="13">
        <v>15</v>
      </c>
      <c r="G196" s="13"/>
      <c r="H196" s="13">
        <v>9</v>
      </c>
      <c r="I196" s="21" t="s">
        <v>32</v>
      </c>
      <c r="J196" s="13" t="s">
        <v>33</v>
      </c>
    </row>
    <row r="197" spans="2:10" ht="54" x14ac:dyDescent="0.15">
      <c r="B197" s="72"/>
      <c r="C197" s="68"/>
      <c r="D197" s="13" t="s">
        <v>34</v>
      </c>
      <c r="E197" s="13">
        <v>2</v>
      </c>
      <c r="F197" s="13">
        <v>15</v>
      </c>
      <c r="G197" s="13"/>
      <c r="H197" s="13">
        <v>9</v>
      </c>
      <c r="I197" s="21" t="s">
        <v>29</v>
      </c>
      <c r="J197" s="13" t="s">
        <v>35</v>
      </c>
    </row>
    <row r="198" spans="2:10" ht="54" x14ac:dyDescent="0.15">
      <c r="B198" s="72"/>
      <c r="C198" s="69"/>
      <c r="D198" s="13" t="s">
        <v>36</v>
      </c>
      <c r="E198" s="13">
        <v>3</v>
      </c>
      <c r="F198" s="13">
        <v>10</v>
      </c>
      <c r="G198" s="13"/>
      <c r="H198" s="13">
        <v>7</v>
      </c>
      <c r="I198" s="21" t="s">
        <v>29</v>
      </c>
      <c r="J198" s="13" t="s">
        <v>37</v>
      </c>
    </row>
    <row r="199" spans="2:10" ht="54" x14ac:dyDescent="0.15">
      <c r="B199" s="72"/>
      <c r="C199" s="41" t="s">
        <v>38</v>
      </c>
      <c r="D199" s="24" t="s">
        <v>39</v>
      </c>
      <c r="E199" s="24">
        <v>3</v>
      </c>
      <c r="F199" s="24">
        <v>4</v>
      </c>
      <c r="G199" s="24">
        <f>IF(D4="kg",MROUND(F8*0.85,2.5),MROUND(F8*0.85,5))</f>
        <v>235</v>
      </c>
      <c r="H199" s="26">
        <v>0.85</v>
      </c>
      <c r="I199" s="27" t="s">
        <v>25</v>
      </c>
      <c r="J199" s="24" t="s">
        <v>40</v>
      </c>
    </row>
    <row r="200" spans="2:10" ht="54" x14ac:dyDescent="0.15">
      <c r="B200" s="72"/>
      <c r="C200" s="68"/>
      <c r="D200" s="13" t="s">
        <v>41</v>
      </c>
      <c r="E200" s="13">
        <v>3</v>
      </c>
      <c r="F200" s="22" t="s">
        <v>21</v>
      </c>
      <c r="G200" s="13"/>
      <c r="H200" s="13">
        <v>8</v>
      </c>
      <c r="I200" s="21" t="s">
        <v>25</v>
      </c>
      <c r="J200" s="13" t="s">
        <v>42</v>
      </c>
    </row>
    <row r="201" spans="2:10" ht="54" x14ac:dyDescent="0.15">
      <c r="B201" s="72"/>
      <c r="C201" s="68"/>
      <c r="D201" s="13" t="s">
        <v>43</v>
      </c>
      <c r="E201" s="13">
        <v>2</v>
      </c>
      <c r="F201" s="22" t="s">
        <v>44</v>
      </c>
      <c r="G201" s="13"/>
      <c r="H201" s="13">
        <v>7</v>
      </c>
      <c r="I201" s="21" t="s">
        <v>29</v>
      </c>
      <c r="J201" s="13" t="s">
        <v>45</v>
      </c>
    </row>
    <row r="202" spans="2:10" ht="108" x14ac:dyDescent="0.15">
      <c r="B202" s="72"/>
      <c r="C202" s="68"/>
      <c r="D202" s="13" t="s">
        <v>46</v>
      </c>
      <c r="E202" s="13">
        <v>2</v>
      </c>
      <c r="F202" s="22" t="s">
        <v>47</v>
      </c>
      <c r="G202" s="13"/>
      <c r="H202" s="13">
        <v>9</v>
      </c>
      <c r="I202" s="21" t="s">
        <v>29</v>
      </c>
      <c r="J202" s="13" t="s">
        <v>48</v>
      </c>
    </row>
    <row r="203" spans="2:10" ht="108" x14ac:dyDescent="0.15">
      <c r="B203" s="72"/>
      <c r="C203" s="68"/>
      <c r="D203" s="13" t="s">
        <v>49</v>
      </c>
      <c r="E203" s="13">
        <v>4</v>
      </c>
      <c r="F203" s="13">
        <v>12</v>
      </c>
      <c r="G203" s="13"/>
      <c r="H203" s="13">
        <v>9</v>
      </c>
      <c r="I203" s="21" t="s">
        <v>29</v>
      </c>
      <c r="J203" s="13" t="s">
        <v>50</v>
      </c>
    </row>
    <row r="204" spans="2:10" ht="54" x14ac:dyDescent="0.15">
      <c r="B204" s="72"/>
      <c r="C204" s="68"/>
      <c r="D204" s="13" t="s">
        <v>51</v>
      </c>
      <c r="E204" s="13">
        <v>3</v>
      </c>
      <c r="F204" s="13">
        <v>15</v>
      </c>
      <c r="G204" s="13"/>
      <c r="H204" s="13">
        <v>8</v>
      </c>
      <c r="I204" s="21" t="s">
        <v>29</v>
      </c>
      <c r="J204" s="13" t="s">
        <v>52</v>
      </c>
    </row>
    <row r="205" spans="2:10" ht="81" x14ac:dyDescent="0.15">
      <c r="B205" s="72"/>
      <c r="C205" s="69"/>
      <c r="D205" s="28" t="s">
        <v>53</v>
      </c>
      <c r="E205" s="28">
        <v>3</v>
      </c>
      <c r="F205" s="28">
        <v>6</v>
      </c>
      <c r="G205" s="28"/>
      <c r="H205" s="28">
        <v>8</v>
      </c>
      <c r="I205" s="30" t="s">
        <v>29</v>
      </c>
      <c r="J205" s="28" t="s">
        <v>54</v>
      </c>
    </row>
    <row r="206" spans="2:10" ht="54" x14ac:dyDescent="0.15">
      <c r="B206" s="72"/>
      <c r="C206" s="41" t="s">
        <v>55</v>
      </c>
      <c r="D206" s="13" t="s">
        <v>56</v>
      </c>
      <c r="E206" s="13">
        <v>2</v>
      </c>
      <c r="F206" s="22" t="s">
        <v>57</v>
      </c>
      <c r="G206" s="13"/>
      <c r="H206" s="13">
        <v>5</v>
      </c>
      <c r="I206" s="21" t="s">
        <v>29</v>
      </c>
      <c r="J206" s="13" t="s">
        <v>58</v>
      </c>
    </row>
    <row r="207" spans="2:10" ht="27" x14ac:dyDescent="0.15">
      <c r="B207" s="72"/>
      <c r="C207" s="68"/>
      <c r="D207" s="13" t="s">
        <v>59</v>
      </c>
      <c r="E207" s="13">
        <v>4</v>
      </c>
      <c r="F207" s="22" t="s">
        <v>60</v>
      </c>
      <c r="G207" s="13"/>
      <c r="H207" s="13">
        <v>8</v>
      </c>
      <c r="I207" s="21" t="s">
        <v>25</v>
      </c>
      <c r="J207" s="13" t="s">
        <v>61</v>
      </c>
    </row>
    <row r="208" spans="2:10" ht="81" x14ac:dyDescent="0.15">
      <c r="B208" s="72"/>
      <c r="C208" s="68"/>
      <c r="D208" s="13" t="s">
        <v>62</v>
      </c>
      <c r="E208" s="13">
        <v>3</v>
      </c>
      <c r="F208" s="22" t="s">
        <v>21</v>
      </c>
      <c r="G208" s="13"/>
      <c r="H208" s="13">
        <v>8</v>
      </c>
      <c r="I208" s="21" t="s">
        <v>25</v>
      </c>
      <c r="J208" s="13" t="s">
        <v>63</v>
      </c>
    </row>
    <row r="209" spans="2:10" ht="27" x14ac:dyDescent="0.15">
      <c r="B209" s="72"/>
      <c r="C209" s="68"/>
      <c r="D209" s="13" t="s">
        <v>64</v>
      </c>
      <c r="E209" s="13">
        <v>3</v>
      </c>
      <c r="F209" s="22" t="s">
        <v>24</v>
      </c>
      <c r="G209" s="13"/>
      <c r="H209" s="13">
        <v>9</v>
      </c>
      <c r="I209" s="21" t="s">
        <v>29</v>
      </c>
      <c r="J209" s="13" t="s">
        <v>65</v>
      </c>
    </row>
    <row r="210" spans="2:10" ht="54" x14ac:dyDescent="0.15">
      <c r="B210" s="72"/>
      <c r="C210" s="68"/>
      <c r="D210" s="13" t="s">
        <v>66</v>
      </c>
      <c r="E210" s="13">
        <v>3</v>
      </c>
      <c r="F210" s="13">
        <v>20</v>
      </c>
      <c r="G210" s="13"/>
      <c r="H210" s="13">
        <v>9</v>
      </c>
      <c r="I210" s="21" t="s">
        <v>29</v>
      </c>
      <c r="J210" s="13" t="s">
        <v>67</v>
      </c>
    </row>
    <row r="211" spans="2:10" ht="54" x14ac:dyDescent="0.15">
      <c r="B211" s="72"/>
      <c r="C211" s="68"/>
      <c r="D211" s="13" t="s">
        <v>68</v>
      </c>
      <c r="E211" s="13">
        <v>3</v>
      </c>
      <c r="F211" s="13">
        <v>20</v>
      </c>
      <c r="G211" s="13"/>
      <c r="H211" s="13">
        <v>10</v>
      </c>
      <c r="I211" s="21" t="s">
        <v>32</v>
      </c>
      <c r="J211" s="13" t="s">
        <v>69</v>
      </c>
    </row>
    <row r="212" spans="2:10" ht="54" x14ac:dyDescent="0.15">
      <c r="B212" s="72"/>
      <c r="C212" s="68"/>
      <c r="D212" s="13" t="s">
        <v>70</v>
      </c>
      <c r="E212" s="13">
        <v>3</v>
      </c>
      <c r="F212" s="13">
        <v>15</v>
      </c>
      <c r="G212" s="13"/>
      <c r="H212" s="13">
        <v>10</v>
      </c>
      <c r="I212" s="21" t="s">
        <v>29</v>
      </c>
      <c r="J212" s="13" t="s">
        <v>71</v>
      </c>
    </row>
    <row r="213" spans="2:10" ht="54" x14ac:dyDescent="0.15">
      <c r="B213" s="72"/>
      <c r="C213" s="69"/>
      <c r="D213" s="13" t="s">
        <v>72</v>
      </c>
      <c r="E213" s="13">
        <v>3</v>
      </c>
      <c r="F213" s="13">
        <v>12</v>
      </c>
      <c r="G213" s="13"/>
      <c r="H213" s="13">
        <v>8</v>
      </c>
      <c r="I213" s="21" t="s">
        <v>29</v>
      </c>
      <c r="J213" s="13" t="s">
        <v>73</v>
      </c>
    </row>
    <row r="214" spans="2:10" ht="81" x14ac:dyDescent="0.15">
      <c r="B214" s="72"/>
      <c r="C214" s="41" t="s">
        <v>74</v>
      </c>
      <c r="D214" s="24" t="s">
        <v>75</v>
      </c>
      <c r="E214" s="24">
        <v>4</v>
      </c>
      <c r="F214" s="24">
        <v>4</v>
      </c>
      <c r="G214" s="24">
        <f>IF(D4="kg",MROUND(G8*0.725,2.5),MROUND(G8*0.725,5))</f>
        <v>365</v>
      </c>
      <c r="H214" s="31">
        <v>0.72499999999999998</v>
      </c>
      <c r="I214" s="27" t="s">
        <v>18</v>
      </c>
      <c r="J214" s="24" t="s">
        <v>76</v>
      </c>
    </row>
    <row r="215" spans="2:10" ht="54" x14ac:dyDescent="0.15">
      <c r="B215" s="72"/>
      <c r="C215" s="68"/>
      <c r="D215" s="13" t="s">
        <v>77</v>
      </c>
      <c r="E215" s="13">
        <v>3</v>
      </c>
      <c r="F215" s="22" t="s">
        <v>60</v>
      </c>
      <c r="G215" s="13"/>
      <c r="H215" s="22" t="s">
        <v>78</v>
      </c>
      <c r="I215" s="21" t="s">
        <v>25</v>
      </c>
      <c r="J215" s="13" t="s">
        <v>79</v>
      </c>
    </row>
    <row r="216" spans="2:10" ht="27" x14ac:dyDescent="0.15">
      <c r="B216" s="72"/>
      <c r="C216" s="68"/>
      <c r="D216" s="13" t="s">
        <v>80</v>
      </c>
      <c r="E216" s="13">
        <v>2</v>
      </c>
      <c r="F216" s="22" t="s">
        <v>24</v>
      </c>
      <c r="G216" s="13"/>
      <c r="H216" s="13">
        <v>8</v>
      </c>
      <c r="I216" s="21" t="s">
        <v>29</v>
      </c>
      <c r="J216" s="13" t="s">
        <v>81</v>
      </c>
    </row>
    <row r="217" spans="2:10" ht="54" x14ac:dyDescent="0.15">
      <c r="B217" s="72"/>
      <c r="C217" s="68"/>
      <c r="D217" s="13" t="s">
        <v>82</v>
      </c>
      <c r="E217" s="13">
        <v>3</v>
      </c>
      <c r="F217" s="13">
        <v>15</v>
      </c>
      <c r="G217" s="13"/>
      <c r="H217" s="13">
        <v>8</v>
      </c>
      <c r="I217" s="21" t="s">
        <v>29</v>
      </c>
      <c r="J217" s="13" t="s">
        <v>83</v>
      </c>
    </row>
    <row r="218" spans="2:10" ht="54" x14ac:dyDescent="0.15">
      <c r="B218" s="72"/>
      <c r="C218" s="68"/>
      <c r="D218" s="13" t="s">
        <v>84</v>
      </c>
      <c r="E218" s="13">
        <v>3</v>
      </c>
      <c r="F218" s="13">
        <v>12</v>
      </c>
      <c r="G218" s="13"/>
      <c r="H218" s="13">
        <v>8</v>
      </c>
      <c r="I218" s="21" t="s">
        <v>29</v>
      </c>
      <c r="J218" s="13" t="s">
        <v>85</v>
      </c>
    </row>
    <row r="219" spans="2:10" ht="54" x14ac:dyDescent="0.15">
      <c r="B219" s="72"/>
      <c r="C219" s="69"/>
      <c r="D219" s="28" t="s">
        <v>86</v>
      </c>
      <c r="E219" s="28">
        <v>3</v>
      </c>
      <c r="F219" s="28">
        <v>15</v>
      </c>
      <c r="G219" s="28"/>
      <c r="H219" s="28">
        <v>8</v>
      </c>
      <c r="I219" s="30" t="s">
        <v>29</v>
      </c>
      <c r="J219" s="28" t="s">
        <v>37</v>
      </c>
    </row>
    <row r="220" spans="2:10" ht="27" x14ac:dyDescent="0.15">
      <c r="B220" s="72"/>
      <c r="C220" s="41" t="s">
        <v>87</v>
      </c>
      <c r="D220" s="13" t="s">
        <v>88</v>
      </c>
      <c r="E220" s="13">
        <v>3</v>
      </c>
      <c r="F220" s="13">
        <v>8</v>
      </c>
      <c r="G220" s="13"/>
      <c r="H220" s="22" t="s">
        <v>89</v>
      </c>
      <c r="I220" s="21" t="s">
        <v>25</v>
      </c>
      <c r="J220" s="13" t="s">
        <v>90</v>
      </c>
    </row>
    <row r="221" spans="2:10" ht="81" x14ac:dyDescent="0.15">
      <c r="B221" s="72"/>
      <c r="C221" s="68"/>
      <c r="D221" s="13" t="s">
        <v>91</v>
      </c>
      <c r="E221" s="13">
        <v>3</v>
      </c>
      <c r="F221" s="13">
        <v>5</v>
      </c>
      <c r="G221" s="13">
        <f>IF(D4="kg",MROUND(H8*0.8,2.5),MROUND(H8*0.8,5))</f>
        <v>130</v>
      </c>
      <c r="H221" s="20">
        <v>0.8</v>
      </c>
      <c r="I221" s="21" t="s">
        <v>25</v>
      </c>
      <c r="J221" s="13" t="s">
        <v>92</v>
      </c>
    </row>
    <row r="222" spans="2:10" ht="54" x14ac:dyDescent="0.15">
      <c r="B222" s="72"/>
      <c r="C222" s="68"/>
      <c r="D222" s="13" t="s">
        <v>93</v>
      </c>
      <c r="E222" s="13">
        <v>3</v>
      </c>
      <c r="F222" s="22" t="s">
        <v>24</v>
      </c>
      <c r="G222" s="13"/>
      <c r="H222" s="13">
        <v>8</v>
      </c>
      <c r="I222" s="21" t="s">
        <v>29</v>
      </c>
      <c r="J222" s="13" t="s">
        <v>94</v>
      </c>
    </row>
    <row r="223" spans="2:10" ht="54" x14ac:dyDescent="0.15">
      <c r="B223" s="72"/>
      <c r="C223" s="68"/>
      <c r="D223" s="13" t="s">
        <v>95</v>
      </c>
      <c r="E223" s="13">
        <v>3</v>
      </c>
      <c r="F223" s="13">
        <v>15</v>
      </c>
      <c r="G223" s="13"/>
      <c r="H223" s="13">
        <v>8</v>
      </c>
      <c r="I223" s="21" t="s">
        <v>29</v>
      </c>
      <c r="J223" s="13" t="s">
        <v>96</v>
      </c>
    </row>
    <row r="224" spans="2:10" ht="54" x14ac:dyDescent="0.15">
      <c r="B224" s="72"/>
      <c r="C224" s="68"/>
      <c r="D224" s="13" t="s">
        <v>97</v>
      </c>
      <c r="E224" s="13">
        <v>4</v>
      </c>
      <c r="F224" s="13">
        <v>8</v>
      </c>
      <c r="G224" s="13"/>
      <c r="H224" s="13">
        <v>9</v>
      </c>
      <c r="I224" s="21" t="s">
        <v>29</v>
      </c>
      <c r="J224" s="13" t="s">
        <v>98</v>
      </c>
    </row>
    <row r="225" spans="2:10" ht="54" x14ac:dyDescent="0.15">
      <c r="B225" s="72"/>
      <c r="C225" s="68"/>
      <c r="D225" s="13" t="s">
        <v>99</v>
      </c>
      <c r="E225" s="13">
        <v>3</v>
      </c>
      <c r="F225" s="13">
        <v>20</v>
      </c>
      <c r="G225" s="13"/>
      <c r="H225" s="13">
        <v>9</v>
      </c>
      <c r="I225" s="21" t="s">
        <v>29</v>
      </c>
      <c r="J225" s="13" t="s">
        <v>100</v>
      </c>
    </row>
    <row r="226" spans="2:10" ht="54" x14ac:dyDescent="0.15">
      <c r="B226" s="72"/>
      <c r="C226" s="69"/>
      <c r="D226" s="13" t="s">
        <v>101</v>
      </c>
      <c r="E226" s="13">
        <v>3</v>
      </c>
      <c r="F226" s="13">
        <v>12</v>
      </c>
      <c r="G226" s="13"/>
      <c r="H226" s="13">
        <v>8</v>
      </c>
      <c r="I226" s="21" t="s">
        <v>29</v>
      </c>
      <c r="J226" s="13" t="s">
        <v>102</v>
      </c>
    </row>
    <row r="227" spans="2:10" ht="27" x14ac:dyDescent="0.15">
      <c r="B227" s="72"/>
      <c r="C227" s="41" t="s">
        <v>103</v>
      </c>
      <c r="D227" s="24" t="s">
        <v>104</v>
      </c>
      <c r="E227" s="24">
        <v>4</v>
      </c>
      <c r="F227" s="32" t="s">
        <v>24</v>
      </c>
      <c r="G227" s="24"/>
      <c r="H227" s="24">
        <v>8</v>
      </c>
      <c r="I227" s="27" t="s">
        <v>25</v>
      </c>
      <c r="J227" s="24" t="s">
        <v>105</v>
      </c>
    </row>
    <row r="228" spans="2:10" ht="54" x14ac:dyDescent="0.15">
      <c r="B228" s="72"/>
      <c r="C228" s="68"/>
      <c r="D228" s="13" t="s">
        <v>106</v>
      </c>
      <c r="E228" s="13">
        <v>3</v>
      </c>
      <c r="F228" s="13">
        <v>10</v>
      </c>
      <c r="G228" s="13"/>
      <c r="H228" s="13">
        <v>8</v>
      </c>
      <c r="I228" s="21" t="s">
        <v>32</v>
      </c>
      <c r="J228" s="13" t="s">
        <v>107</v>
      </c>
    </row>
    <row r="229" spans="2:10" ht="54" x14ac:dyDescent="0.15">
      <c r="B229" s="72"/>
      <c r="C229" s="68"/>
      <c r="D229" s="13" t="s">
        <v>108</v>
      </c>
      <c r="E229" s="13">
        <v>3</v>
      </c>
      <c r="F229" s="13">
        <v>10</v>
      </c>
      <c r="G229" s="13"/>
      <c r="H229" s="13">
        <v>8</v>
      </c>
      <c r="I229" s="21" t="s">
        <v>25</v>
      </c>
      <c r="J229" s="13" t="s">
        <v>109</v>
      </c>
    </row>
    <row r="230" spans="2:10" ht="54" x14ac:dyDescent="0.15">
      <c r="B230" s="72"/>
      <c r="C230" s="68"/>
      <c r="D230" s="13" t="s">
        <v>110</v>
      </c>
      <c r="E230" s="13">
        <v>3</v>
      </c>
      <c r="F230" s="13">
        <v>15</v>
      </c>
      <c r="G230" s="13"/>
      <c r="H230" s="13">
        <v>7</v>
      </c>
      <c r="I230" s="21" t="s">
        <v>29</v>
      </c>
      <c r="J230" s="13" t="s">
        <v>111</v>
      </c>
    </row>
    <row r="231" spans="2:10" ht="54" x14ac:dyDescent="0.15">
      <c r="B231" s="72"/>
      <c r="C231" s="68"/>
      <c r="D231" s="13" t="s">
        <v>112</v>
      </c>
      <c r="E231" s="13">
        <v>3</v>
      </c>
      <c r="F231" s="13">
        <v>15</v>
      </c>
      <c r="G231" s="13"/>
      <c r="H231" s="13">
        <v>8</v>
      </c>
      <c r="I231" s="21" t="s">
        <v>113</v>
      </c>
      <c r="J231" s="13" t="s">
        <v>114</v>
      </c>
    </row>
    <row r="232" spans="2:10" ht="27" x14ac:dyDescent="0.15">
      <c r="B232" s="72"/>
      <c r="C232" s="68"/>
      <c r="D232" s="13" t="s">
        <v>115</v>
      </c>
      <c r="E232" s="13">
        <v>3</v>
      </c>
      <c r="F232" s="13">
        <v>20</v>
      </c>
      <c r="G232" s="13"/>
      <c r="H232" s="13">
        <v>8</v>
      </c>
      <c r="I232" s="21" t="s">
        <v>32</v>
      </c>
      <c r="J232" s="13" t="s">
        <v>116</v>
      </c>
    </row>
    <row r="233" spans="2:10" ht="54" x14ac:dyDescent="0.15">
      <c r="B233" s="72"/>
      <c r="C233" s="68"/>
      <c r="D233" s="13" t="s">
        <v>117</v>
      </c>
      <c r="E233" s="13">
        <v>3</v>
      </c>
      <c r="F233" s="13">
        <v>12</v>
      </c>
      <c r="G233" s="13"/>
      <c r="H233" s="13">
        <v>7</v>
      </c>
      <c r="I233" s="21" t="s">
        <v>29</v>
      </c>
      <c r="J233" s="13" t="s">
        <v>118</v>
      </c>
    </row>
    <row r="234" spans="2:10" ht="54" x14ac:dyDescent="0.15">
      <c r="B234" s="73"/>
      <c r="C234" s="69"/>
      <c r="D234" s="28" t="s">
        <v>119</v>
      </c>
      <c r="E234" s="28">
        <v>3</v>
      </c>
      <c r="F234" s="28">
        <v>8</v>
      </c>
      <c r="G234" s="28"/>
      <c r="H234" s="28">
        <v>7</v>
      </c>
      <c r="I234" s="30" t="s">
        <v>29</v>
      </c>
      <c r="J234" s="28" t="s">
        <v>73</v>
      </c>
    </row>
    <row r="235" spans="2:10" ht="26" x14ac:dyDescent="0.2">
      <c r="C235" s="33"/>
      <c r="D235" s="13"/>
      <c r="E235" s="34"/>
      <c r="F235" s="35"/>
    </row>
    <row r="236" spans="2:10" ht="22" x14ac:dyDescent="0.15">
      <c r="B236" s="52" t="s">
        <v>124</v>
      </c>
      <c r="C236" s="15" t="s">
        <v>9</v>
      </c>
      <c r="D236" s="16" t="s">
        <v>10</v>
      </c>
      <c r="E236" s="16" t="s">
        <v>11</v>
      </c>
      <c r="F236" s="17" t="s">
        <v>12</v>
      </c>
      <c r="G236" s="16" t="str">
        <f>IF(D4 = "kg", "Load (kg)", "Load (lbs)")</f>
        <v>Load (lbs)</v>
      </c>
      <c r="H236" s="17" t="s">
        <v>13</v>
      </c>
      <c r="I236" s="17" t="s">
        <v>14</v>
      </c>
      <c r="J236" s="18" t="s">
        <v>15</v>
      </c>
    </row>
    <row r="237" spans="2:10" ht="54" x14ac:dyDescent="0.15">
      <c r="B237" s="70"/>
      <c r="C237" s="68" t="s">
        <v>16</v>
      </c>
      <c r="D237" s="13" t="s">
        <v>17</v>
      </c>
      <c r="E237" s="13">
        <v>4</v>
      </c>
      <c r="F237" s="13">
        <v>6</v>
      </c>
      <c r="G237" s="13">
        <f>IF(D4="kg",MROUND(E8*0.725,2.5),MROUND(E8*0.725,5))</f>
        <v>215</v>
      </c>
      <c r="H237" s="36">
        <v>0.72499999999999998</v>
      </c>
      <c r="I237" s="21" t="s">
        <v>18</v>
      </c>
      <c r="J237" s="13" t="s">
        <v>19</v>
      </c>
    </row>
    <row r="238" spans="2:10" ht="54" x14ac:dyDescent="0.15">
      <c r="B238" s="70"/>
      <c r="C238" s="68"/>
      <c r="D238" s="13" t="s">
        <v>20</v>
      </c>
      <c r="E238" s="13">
        <v>2</v>
      </c>
      <c r="F238" s="22" t="s">
        <v>21</v>
      </c>
      <c r="G238" s="19"/>
      <c r="H238" s="23">
        <v>7</v>
      </c>
      <c r="I238" s="21" t="s">
        <v>18</v>
      </c>
      <c r="J238" s="13" t="s">
        <v>22</v>
      </c>
    </row>
    <row r="239" spans="2:10" ht="54" x14ac:dyDescent="0.15">
      <c r="B239" s="70"/>
      <c r="C239" s="68"/>
      <c r="D239" s="13" t="s">
        <v>23</v>
      </c>
      <c r="E239" s="13">
        <v>2</v>
      </c>
      <c r="F239" s="22" t="s">
        <v>24</v>
      </c>
      <c r="G239" s="19"/>
      <c r="H239" s="13">
        <v>6</v>
      </c>
      <c r="I239" s="21" t="s">
        <v>25</v>
      </c>
      <c r="J239" s="13" t="s">
        <v>26</v>
      </c>
    </row>
    <row r="240" spans="2:10" ht="54" x14ac:dyDescent="0.15">
      <c r="B240" s="70"/>
      <c r="C240" s="68"/>
      <c r="D240" s="13" t="s">
        <v>27</v>
      </c>
      <c r="E240" s="13">
        <v>2</v>
      </c>
      <c r="F240" s="22" t="s">
        <v>28</v>
      </c>
      <c r="G240" s="13"/>
      <c r="H240" s="13">
        <v>9</v>
      </c>
      <c r="I240" s="21" t="s">
        <v>29</v>
      </c>
      <c r="J240" s="13" t="s">
        <v>30</v>
      </c>
    </row>
    <row r="241" spans="2:10" ht="54" x14ac:dyDescent="0.15">
      <c r="B241" s="70"/>
      <c r="C241" s="68"/>
      <c r="D241" s="13" t="s">
        <v>31</v>
      </c>
      <c r="E241" s="13">
        <v>2</v>
      </c>
      <c r="F241" s="13">
        <v>15</v>
      </c>
      <c r="G241" s="13"/>
      <c r="H241" s="13">
        <v>9</v>
      </c>
      <c r="I241" s="21" t="s">
        <v>32</v>
      </c>
      <c r="J241" s="13" t="s">
        <v>33</v>
      </c>
    </row>
    <row r="242" spans="2:10" ht="54" x14ac:dyDescent="0.15">
      <c r="B242" s="70"/>
      <c r="C242" s="68"/>
      <c r="D242" s="13" t="s">
        <v>34</v>
      </c>
      <c r="E242" s="13">
        <v>2</v>
      </c>
      <c r="F242" s="13">
        <v>15</v>
      </c>
      <c r="G242" s="13"/>
      <c r="H242" s="13">
        <v>9</v>
      </c>
      <c r="I242" s="21" t="s">
        <v>29</v>
      </c>
      <c r="J242" s="13" t="s">
        <v>35</v>
      </c>
    </row>
    <row r="243" spans="2:10" ht="54" x14ac:dyDescent="0.15">
      <c r="B243" s="70"/>
      <c r="C243" s="69"/>
      <c r="D243" s="13" t="s">
        <v>36</v>
      </c>
      <c r="E243" s="13">
        <v>3</v>
      </c>
      <c r="F243" s="13">
        <v>10</v>
      </c>
      <c r="G243" s="13"/>
      <c r="H243" s="13">
        <v>7</v>
      </c>
      <c r="I243" s="21" t="s">
        <v>29</v>
      </c>
      <c r="J243" s="13" t="s">
        <v>37</v>
      </c>
    </row>
    <row r="244" spans="2:10" ht="54" x14ac:dyDescent="0.15">
      <c r="B244" s="70"/>
      <c r="C244" s="41" t="s">
        <v>38</v>
      </c>
      <c r="D244" s="24" t="s">
        <v>39</v>
      </c>
      <c r="E244" s="24">
        <v>3</v>
      </c>
      <c r="F244" s="24">
        <v>4</v>
      </c>
      <c r="G244" s="24">
        <f>IF(D4="kg",MROUND(F8*0.85,2.5),MROUND(F8*0.85,5))</f>
        <v>235</v>
      </c>
      <c r="H244" s="26">
        <v>0.85</v>
      </c>
      <c r="I244" s="27" t="s">
        <v>25</v>
      </c>
      <c r="J244" s="24" t="s">
        <v>40</v>
      </c>
    </row>
    <row r="245" spans="2:10" ht="54" x14ac:dyDescent="0.15">
      <c r="B245" s="70"/>
      <c r="C245" s="68"/>
      <c r="D245" s="13" t="s">
        <v>41</v>
      </c>
      <c r="E245" s="13">
        <v>3</v>
      </c>
      <c r="F245" s="22" t="s">
        <v>21</v>
      </c>
      <c r="G245" s="13"/>
      <c r="H245" s="13">
        <v>8</v>
      </c>
      <c r="I245" s="21" t="s">
        <v>25</v>
      </c>
      <c r="J245" s="13" t="s">
        <v>42</v>
      </c>
    </row>
    <row r="246" spans="2:10" ht="54" x14ac:dyDescent="0.15">
      <c r="B246" s="70"/>
      <c r="C246" s="68"/>
      <c r="D246" s="13" t="s">
        <v>43</v>
      </c>
      <c r="E246" s="13">
        <v>2</v>
      </c>
      <c r="F246" s="22" t="s">
        <v>44</v>
      </c>
      <c r="G246" s="13"/>
      <c r="H246" s="13">
        <v>7</v>
      </c>
      <c r="I246" s="21" t="s">
        <v>29</v>
      </c>
      <c r="J246" s="13" t="s">
        <v>45</v>
      </c>
    </row>
    <row r="247" spans="2:10" ht="108" x14ac:dyDescent="0.15">
      <c r="B247" s="70"/>
      <c r="C247" s="68"/>
      <c r="D247" s="13" t="s">
        <v>46</v>
      </c>
      <c r="E247" s="13">
        <v>2</v>
      </c>
      <c r="F247" s="22" t="s">
        <v>47</v>
      </c>
      <c r="G247" s="13"/>
      <c r="H247" s="13">
        <v>9</v>
      </c>
      <c r="I247" s="21" t="s">
        <v>29</v>
      </c>
      <c r="J247" s="13" t="s">
        <v>48</v>
      </c>
    </row>
    <row r="248" spans="2:10" ht="108" x14ac:dyDescent="0.15">
      <c r="B248" s="70"/>
      <c r="C248" s="68"/>
      <c r="D248" s="13" t="s">
        <v>49</v>
      </c>
      <c r="E248" s="13">
        <v>4</v>
      </c>
      <c r="F248" s="13">
        <v>12</v>
      </c>
      <c r="G248" s="13"/>
      <c r="H248" s="13">
        <v>9</v>
      </c>
      <c r="I248" s="21" t="s">
        <v>29</v>
      </c>
      <c r="J248" s="13" t="s">
        <v>50</v>
      </c>
    </row>
    <row r="249" spans="2:10" ht="54" x14ac:dyDescent="0.15">
      <c r="B249" s="70"/>
      <c r="C249" s="68"/>
      <c r="D249" s="13" t="s">
        <v>51</v>
      </c>
      <c r="E249" s="13">
        <v>3</v>
      </c>
      <c r="F249" s="13">
        <v>15</v>
      </c>
      <c r="G249" s="13"/>
      <c r="H249" s="13">
        <v>8</v>
      </c>
      <c r="I249" s="21" t="s">
        <v>29</v>
      </c>
      <c r="J249" s="13" t="s">
        <v>52</v>
      </c>
    </row>
    <row r="250" spans="2:10" ht="81" x14ac:dyDescent="0.15">
      <c r="B250" s="70"/>
      <c r="C250" s="69"/>
      <c r="D250" s="28" t="s">
        <v>53</v>
      </c>
      <c r="E250" s="28">
        <v>3</v>
      </c>
      <c r="F250" s="28">
        <v>6</v>
      </c>
      <c r="G250" s="28"/>
      <c r="H250" s="28">
        <v>8</v>
      </c>
      <c r="I250" s="30" t="s">
        <v>29</v>
      </c>
      <c r="J250" s="28" t="s">
        <v>54</v>
      </c>
    </row>
    <row r="251" spans="2:10" ht="54" x14ac:dyDescent="0.15">
      <c r="B251" s="70"/>
      <c r="C251" s="41" t="s">
        <v>55</v>
      </c>
      <c r="D251" s="13" t="s">
        <v>56</v>
      </c>
      <c r="E251" s="13">
        <v>2</v>
      </c>
      <c r="F251" s="22" t="s">
        <v>57</v>
      </c>
      <c r="G251" s="13"/>
      <c r="H251" s="13">
        <v>5</v>
      </c>
      <c r="I251" s="21" t="s">
        <v>29</v>
      </c>
      <c r="J251" s="13" t="s">
        <v>58</v>
      </c>
    </row>
    <row r="252" spans="2:10" ht="27" x14ac:dyDescent="0.15">
      <c r="B252" s="70"/>
      <c r="C252" s="68"/>
      <c r="D252" s="13" t="s">
        <v>59</v>
      </c>
      <c r="E252" s="13">
        <v>4</v>
      </c>
      <c r="F252" s="22" t="s">
        <v>60</v>
      </c>
      <c r="G252" s="13"/>
      <c r="H252" s="13">
        <v>8</v>
      </c>
      <c r="I252" s="21" t="s">
        <v>25</v>
      </c>
      <c r="J252" s="13" t="s">
        <v>61</v>
      </c>
    </row>
    <row r="253" spans="2:10" ht="81" x14ac:dyDescent="0.15">
      <c r="B253" s="70"/>
      <c r="C253" s="68"/>
      <c r="D253" s="13" t="s">
        <v>62</v>
      </c>
      <c r="E253" s="13">
        <v>3</v>
      </c>
      <c r="F253" s="22" t="s">
        <v>21</v>
      </c>
      <c r="G253" s="13"/>
      <c r="H253" s="13">
        <v>8</v>
      </c>
      <c r="I253" s="21" t="s">
        <v>25</v>
      </c>
      <c r="J253" s="13" t="s">
        <v>63</v>
      </c>
    </row>
    <row r="254" spans="2:10" ht="27" x14ac:dyDescent="0.15">
      <c r="B254" s="70"/>
      <c r="C254" s="68"/>
      <c r="D254" s="13" t="s">
        <v>64</v>
      </c>
      <c r="E254" s="13">
        <v>3</v>
      </c>
      <c r="F254" s="22" t="s">
        <v>24</v>
      </c>
      <c r="G254" s="13"/>
      <c r="H254" s="13">
        <v>9</v>
      </c>
      <c r="I254" s="21" t="s">
        <v>29</v>
      </c>
      <c r="J254" s="13" t="s">
        <v>65</v>
      </c>
    </row>
    <row r="255" spans="2:10" ht="54" x14ac:dyDescent="0.15">
      <c r="B255" s="70"/>
      <c r="C255" s="68"/>
      <c r="D255" s="13" t="s">
        <v>66</v>
      </c>
      <c r="E255" s="13">
        <v>3</v>
      </c>
      <c r="F255" s="13">
        <v>20</v>
      </c>
      <c r="G255" s="13"/>
      <c r="H255" s="13">
        <v>9</v>
      </c>
      <c r="I255" s="21" t="s">
        <v>29</v>
      </c>
      <c r="J255" s="13" t="s">
        <v>67</v>
      </c>
    </row>
    <row r="256" spans="2:10" ht="54" x14ac:dyDescent="0.15">
      <c r="B256" s="70"/>
      <c r="C256" s="68"/>
      <c r="D256" s="13" t="s">
        <v>68</v>
      </c>
      <c r="E256" s="13">
        <v>3</v>
      </c>
      <c r="F256" s="13">
        <v>20</v>
      </c>
      <c r="G256" s="13"/>
      <c r="H256" s="13">
        <v>10</v>
      </c>
      <c r="I256" s="21" t="s">
        <v>32</v>
      </c>
      <c r="J256" s="13" t="s">
        <v>69</v>
      </c>
    </row>
    <row r="257" spans="2:10" ht="54" x14ac:dyDescent="0.15">
      <c r="B257" s="70"/>
      <c r="C257" s="68"/>
      <c r="D257" s="13" t="s">
        <v>70</v>
      </c>
      <c r="E257" s="13">
        <v>3</v>
      </c>
      <c r="F257" s="13">
        <v>15</v>
      </c>
      <c r="G257" s="13"/>
      <c r="H257" s="13">
        <v>10</v>
      </c>
      <c r="I257" s="21" t="s">
        <v>29</v>
      </c>
      <c r="J257" s="13" t="s">
        <v>71</v>
      </c>
    </row>
    <row r="258" spans="2:10" ht="54" x14ac:dyDescent="0.15">
      <c r="B258" s="70"/>
      <c r="C258" s="69"/>
      <c r="D258" s="13" t="s">
        <v>72</v>
      </c>
      <c r="E258" s="13">
        <v>3</v>
      </c>
      <c r="F258" s="13">
        <v>12</v>
      </c>
      <c r="G258" s="13"/>
      <c r="H258" s="13">
        <v>8</v>
      </c>
      <c r="I258" s="21" t="s">
        <v>29</v>
      </c>
      <c r="J258" s="13" t="s">
        <v>73</v>
      </c>
    </row>
    <row r="259" spans="2:10" ht="81" x14ac:dyDescent="0.15">
      <c r="B259" s="70"/>
      <c r="C259" s="41" t="s">
        <v>74</v>
      </c>
      <c r="D259" s="24" t="s">
        <v>75</v>
      </c>
      <c r="E259" s="24">
        <v>4</v>
      </c>
      <c r="F259" s="24">
        <v>5</v>
      </c>
      <c r="G259" s="24">
        <f>IF(D4="kg",MROUND(G8*0.75,2.5),MROUND(G8*0.75,5))</f>
        <v>375</v>
      </c>
      <c r="H259" s="26">
        <v>0.75</v>
      </c>
      <c r="I259" s="27" t="s">
        <v>18</v>
      </c>
      <c r="J259" s="24" t="s">
        <v>76</v>
      </c>
    </row>
    <row r="260" spans="2:10" ht="54" x14ac:dyDescent="0.15">
      <c r="B260" s="70"/>
      <c r="C260" s="68"/>
      <c r="D260" s="13" t="s">
        <v>77</v>
      </c>
      <c r="E260" s="13">
        <v>3</v>
      </c>
      <c r="F260" s="22" t="s">
        <v>60</v>
      </c>
      <c r="G260" s="13"/>
      <c r="H260" s="22" t="s">
        <v>78</v>
      </c>
      <c r="I260" s="21" t="s">
        <v>25</v>
      </c>
      <c r="J260" s="13" t="s">
        <v>79</v>
      </c>
    </row>
    <row r="261" spans="2:10" ht="27" x14ac:dyDescent="0.15">
      <c r="B261" s="70"/>
      <c r="C261" s="68"/>
      <c r="D261" s="13" t="s">
        <v>80</v>
      </c>
      <c r="E261" s="13">
        <v>2</v>
      </c>
      <c r="F261" s="22" t="s">
        <v>24</v>
      </c>
      <c r="G261" s="13"/>
      <c r="H261" s="13">
        <v>8</v>
      </c>
      <c r="I261" s="21" t="s">
        <v>29</v>
      </c>
      <c r="J261" s="13" t="s">
        <v>81</v>
      </c>
    </row>
    <row r="262" spans="2:10" ht="54" x14ac:dyDescent="0.15">
      <c r="B262" s="70"/>
      <c r="C262" s="68"/>
      <c r="D262" s="13" t="s">
        <v>82</v>
      </c>
      <c r="E262" s="13">
        <v>3</v>
      </c>
      <c r="F262" s="13">
        <v>15</v>
      </c>
      <c r="G262" s="13"/>
      <c r="H262" s="13">
        <v>8</v>
      </c>
      <c r="I262" s="21" t="s">
        <v>29</v>
      </c>
      <c r="J262" s="13" t="s">
        <v>83</v>
      </c>
    </row>
    <row r="263" spans="2:10" ht="54" x14ac:dyDescent="0.15">
      <c r="B263" s="70"/>
      <c r="C263" s="68"/>
      <c r="D263" s="13" t="s">
        <v>84</v>
      </c>
      <c r="E263" s="13">
        <v>3</v>
      </c>
      <c r="F263" s="13">
        <v>12</v>
      </c>
      <c r="G263" s="13"/>
      <c r="H263" s="13">
        <v>8</v>
      </c>
      <c r="I263" s="21" t="s">
        <v>29</v>
      </c>
      <c r="J263" s="13" t="s">
        <v>85</v>
      </c>
    </row>
    <row r="264" spans="2:10" ht="54" x14ac:dyDescent="0.15">
      <c r="B264" s="70"/>
      <c r="C264" s="69"/>
      <c r="D264" s="28" t="s">
        <v>86</v>
      </c>
      <c r="E264" s="28">
        <v>3</v>
      </c>
      <c r="F264" s="28">
        <v>15</v>
      </c>
      <c r="G264" s="28"/>
      <c r="H264" s="28">
        <v>8</v>
      </c>
      <c r="I264" s="30" t="s">
        <v>29</v>
      </c>
      <c r="J264" s="28" t="s">
        <v>37</v>
      </c>
    </row>
    <row r="265" spans="2:10" ht="27" x14ac:dyDescent="0.15">
      <c r="B265" s="70"/>
      <c r="C265" s="41" t="s">
        <v>87</v>
      </c>
      <c r="D265" s="13" t="s">
        <v>88</v>
      </c>
      <c r="E265" s="13">
        <v>3</v>
      </c>
      <c r="F265" s="13">
        <v>8</v>
      </c>
      <c r="G265" s="13"/>
      <c r="H265" s="22" t="s">
        <v>89</v>
      </c>
      <c r="I265" s="21" t="s">
        <v>25</v>
      </c>
      <c r="J265" s="13" t="s">
        <v>90</v>
      </c>
    </row>
    <row r="266" spans="2:10" ht="81" x14ac:dyDescent="0.15">
      <c r="B266" s="70"/>
      <c r="C266" s="68"/>
      <c r="D266" s="13" t="s">
        <v>91</v>
      </c>
      <c r="E266" s="13">
        <v>3</v>
      </c>
      <c r="F266" s="13">
        <v>5</v>
      </c>
      <c r="G266" s="13">
        <f>IF(D4="kg",MROUND(H8*0.8,2.5),MROUND(H8*0.8,5))</f>
        <v>130</v>
      </c>
      <c r="H266" s="20">
        <v>0.8</v>
      </c>
      <c r="I266" s="21" t="s">
        <v>25</v>
      </c>
      <c r="J266" s="13" t="s">
        <v>92</v>
      </c>
    </row>
    <row r="267" spans="2:10" ht="54" x14ac:dyDescent="0.15">
      <c r="B267" s="70"/>
      <c r="C267" s="68"/>
      <c r="D267" s="13" t="s">
        <v>93</v>
      </c>
      <c r="E267" s="13">
        <v>3</v>
      </c>
      <c r="F267" s="22" t="s">
        <v>24</v>
      </c>
      <c r="G267" s="13"/>
      <c r="H267" s="13">
        <v>8</v>
      </c>
      <c r="I267" s="21" t="s">
        <v>29</v>
      </c>
      <c r="J267" s="13" t="s">
        <v>94</v>
      </c>
    </row>
    <row r="268" spans="2:10" ht="54" x14ac:dyDescent="0.15">
      <c r="B268" s="70"/>
      <c r="C268" s="68"/>
      <c r="D268" s="13" t="s">
        <v>95</v>
      </c>
      <c r="E268" s="13">
        <v>3</v>
      </c>
      <c r="F268" s="13">
        <v>15</v>
      </c>
      <c r="G268" s="13"/>
      <c r="H268" s="13">
        <v>8</v>
      </c>
      <c r="I268" s="21" t="s">
        <v>29</v>
      </c>
      <c r="J268" s="13" t="s">
        <v>96</v>
      </c>
    </row>
    <row r="269" spans="2:10" ht="54" x14ac:dyDescent="0.15">
      <c r="B269" s="70"/>
      <c r="C269" s="68"/>
      <c r="D269" s="13" t="s">
        <v>97</v>
      </c>
      <c r="E269" s="13">
        <v>4</v>
      </c>
      <c r="F269" s="13">
        <v>8</v>
      </c>
      <c r="G269" s="13"/>
      <c r="H269" s="13">
        <v>9</v>
      </c>
      <c r="I269" s="21" t="s">
        <v>29</v>
      </c>
      <c r="J269" s="13" t="s">
        <v>98</v>
      </c>
    </row>
    <row r="270" spans="2:10" ht="54" x14ac:dyDescent="0.15">
      <c r="B270" s="70"/>
      <c r="C270" s="68"/>
      <c r="D270" s="13" t="s">
        <v>99</v>
      </c>
      <c r="E270" s="13">
        <v>3</v>
      </c>
      <c r="F270" s="13">
        <v>20</v>
      </c>
      <c r="G270" s="13"/>
      <c r="H270" s="13">
        <v>9</v>
      </c>
      <c r="I270" s="21" t="s">
        <v>29</v>
      </c>
      <c r="J270" s="13" t="s">
        <v>100</v>
      </c>
    </row>
    <row r="271" spans="2:10" ht="54" x14ac:dyDescent="0.15">
      <c r="B271" s="70"/>
      <c r="C271" s="69"/>
      <c r="D271" s="13" t="s">
        <v>101</v>
      </c>
      <c r="E271" s="13">
        <v>3</v>
      </c>
      <c r="F271" s="13">
        <v>12</v>
      </c>
      <c r="G271" s="13"/>
      <c r="H271" s="13">
        <v>8</v>
      </c>
      <c r="I271" s="21" t="s">
        <v>29</v>
      </c>
      <c r="J271" s="13" t="s">
        <v>102</v>
      </c>
    </row>
    <row r="272" spans="2:10" ht="27" x14ac:dyDescent="0.15">
      <c r="B272" s="70"/>
      <c r="C272" s="41" t="s">
        <v>103</v>
      </c>
      <c r="D272" s="24" t="s">
        <v>104</v>
      </c>
      <c r="E272" s="24">
        <v>4</v>
      </c>
      <c r="F272" s="32" t="s">
        <v>24</v>
      </c>
      <c r="G272" s="24"/>
      <c r="H272" s="24">
        <v>8</v>
      </c>
      <c r="I272" s="27" t="s">
        <v>25</v>
      </c>
      <c r="J272" s="24" t="s">
        <v>105</v>
      </c>
    </row>
    <row r="273" spans="2:10" ht="54" x14ac:dyDescent="0.15">
      <c r="B273" s="70"/>
      <c r="C273" s="68"/>
      <c r="D273" s="13" t="s">
        <v>106</v>
      </c>
      <c r="E273" s="13">
        <v>3</v>
      </c>
      <c r="F273" s="13">
        <v>10</v>
      </c>
      <c r="G273" s="13"/>
      <c r="H273" s="13">
        <v>8</v>
      </c>
      <c r="I273" s="21" t="s">
        <v>32</v>
      </c>
      <c r="J273" s="13" t="s">
        <v>107</v>
      </c>
    </row>
    <row r="274" spans="2:10" ht="54" x14ac:dyDescent="0.15">
      <c r="B274" s="70"/>
      <c r="C274" s="68"/>
      <c r="D274" s="13" t="s">
        <v>108</v>
      </c>
      <c r="E274" s="13">
        <v>3</v>
      </c>
      <c r="F274" s="13">
        <v>10</v>
      </c>
      <c r="G274" s="13"/>
      <c r="H274" s="13">
        <v>8</v>
      </c>
      <c r="I274" s="21" t="s">
        <v>25</v>
      </c>
      <c r="J274" s="13" t="s">
        <v>109</v>
      </c>
    </row>
    <row r="275" spans="2:10" ht="54" x14ac:dyDescent="0.15">
      <c r="B275" s="70"/>
      <c r="C275" s="68"/>
      <c r="D275" s="13" t="s">
        <v>110</v>
      </c>
      <c r="E275" s="13">
        <v>3</v>
      </c>
      <c r="F275" s="13">
        <v>15</v>
      </c>
      <c r="G275" s="13"/>
      <c r="H275" s="13">
        <v>7</v>
      </c>
      <c r="I275" s="21" t="s">
        <v>29</v>
      </c>
      <c r="J275" s="13" t="s">
        <v>111</v>
      </c>
    </row>
    <row r="276" spans="2:10" ht="54" x14ac:dyDescent="0.15">
      <c r="B276" s="70"/>
      <c r="C276" s="68"/>
      <c r="D276" s="13" t="s">
        <v>112</v>
      </c>
      <c r="E276" s="13">
        <v>3</v>
      </c>
      <c r="F276" s="13">
        <v>15</v>
      </c>
      <c r="G276" s="13"/>
      <c r="H276" s="13">
        <v>8</v>
      </c>
      <c r="I276" s="21" t="s">
        <v>113</v>
      </c>
      <c r="J276" s="13" t="s">
        <v>114</v>
      </c>
    </row>
    <row r="277" spans="2:10" ht="27" x14ac:dyDescent="0.15">
      <c r="B277" s="70"/>
      <c r="C277" s="68"/>
      <c r="D277" s="13" t="s">
        <v>115</v>
      </c>
      <c r="E277" s="13">
        <v>3</v>
      </c>
      <c r="F277" s="13">
        <v>20</v>
      </c>
      <c r="G277" s="13"/>
      <c r="H277" s="13">
        <v>8</v>
      </c>
      <c r="I277" s="21" t="s">
        <v>32</v>
      </c>
      <c r="J277" s="13" t="s">
        <v>116</v>
      </c>
    </row>
    <row r="278" spans="2:10" ht="54" x14ac:dyDescent="0.15">
      <c r="B278" s="70"/>
      <c r="C278" s="68"/>
      <c r="D278" s="13" t="s">
        <v>117</v>
      </c>
      <c r="E278" s="13">
        <v>3</v>
      </c>
      <c r="F278" s="13">
        <v>12</v>
      </c>
      <c r="G278" s="13"/>
      <c r="H278" s="13">
        <v>7</v>
      </c>
      <c r="I278" s="21" t="s">
        <v>29</v>
      </c>
      <c r="J278" s="13" t="s">
        <v>118</v>
      </c>
    </row>
    <row r="279" spans="2:10" ht="54" x14ac:dyDescent="0.15">
      <c r="B279" s="71"/>
      <c r="C279" s="69"/>
      <c r="D279" s="28" t="s">
        <v>119</v>
      </c>
      <c r="E279" s="28">
        <v>3</v>
      </c>
      <c r="F279" s="28">
        <v>8</v>
      </c>
      <c r="G279" s="28"/>
      <c r="H279" s="28">
        <v>7</v>
      </c>
      <c r="I279" s="30" t="s">
        <v>29</v>
      </c>
      <c r="J279" s="28" t="s">
        <v>73</v>
      </c>
    </row>
    <row r="280" spans="2:10" ht="26" x14ac:dyDescent="0.2">
      <c r="C280" s="33"/>
      <c r="D280" s="13"/>
      <c r="E280" s="34"/>
      <c r="F280" s="35"/>
    </row>
    <row r="281" spans="2:10" ht="22" x14ac:dyDescent="0.15">
      <c r="B281" s="49" t="s">
        <v>125</v>
      </c>
      <c r="C281" s="15" t="s">
        <v>9</v>
      </c>
      <c r="D281" s="16" t="s">
        <v>10</v>
      </c>
      <c r="E281" s="16" t="s">
        <v>11</v>
      </c>
      <c r="F281" s="17" t="s">
        <v>12</v>
      </c>
      <c r="G281" s="16" t="str">
        <f>IF(D4 = "kg", "Load (kg)", "Load (lbs)")</f>
        <v>Load (lbs)</v>
      </c>
      <c r="H281" s="17" t="s">
        <v>13</v>
      </c>
      <c r="I281" s="17" t="s">
        <v>14</v>
      </c>
      <c r="J281" s="18" t="s">
        <v>15</v>
      </c>
    </row>
    <row r="282" spans="2:10" ht="54" x14ac:dyDescent="0.15">
      <c r="B282" s="72"/>
      <c r="C282" s="68" t="s">
        <v>16</v>
      </c>
      <c r="D282" s="13" t="s">
        <v>17</v>
      </c>
      <c r="E282" s="13">
        <v>3</v>
      </c>
      <c r="F282" s="13">
        <v>6</v>
      </c>
      <c r="G282" s="13">
        <f>IF(D4="kg",MROUND(E8*0.775,2.5),MROUND(E8*0.775,5))</f>
        <v>230</v>
      </c>
      <c r="H282" s="36">
        <v>0.77500000000000002</v>
      </c>
      <c r="I282" s="21" t="s">
        <v>18</v>
      </c>
      <c r="J282" s="13" t="s">
        <v>19</v>
      </c>
    </row>
    <row r="283" spans="2:10" ht="54" x14ac:dyDescent="0.15">
      <c r="B283" s="72"/>
      <c r="C283" s="68"/>
      <c r="D283" s="13" t="s">
        <v>20</v>
      </c>
      <c r="E283" s="13">
        <v>3</v>
      </c>
      <c r="F283" s="22" t="s">
        <v>21</v>
      </c>
      <c r="G283" s="19"/>
      <c r="H283" s="23">
        <v>7</v>
      </c>
      <c r="I283" s="21" t="s">
        <v>18</v>
      </c>
      <c r="J283" s="13" t="s">
        <v>22</v>
      </c>
    </row>
    <row r="284" spans="2:10" ht="54" x14ac:dyDescent="0.15">
      <c r="B284" s="72"/>
      <c r="C284" s="68"/>
      <c r="D284" s="13" t="s">
        <v>23</v>
      </c>
      <c r="E284" s="13">
        <v>2</v>
      </c>
      <c r="F284" s="22" t="s">
        <v>24</v>
      </c>
      <c r="G284" s="19"/>
      <c r="H284" s="13">
        <v>6</v>
      </c>
      <c r="I284" s="21" t="s">
        <v>25</v>
      </c>
      <c r="J284" s="13" t="s">
        <v>26</v>
      </c>
    </row>
    <row r="285" spans="2:10" ht="54" x14ac:dyDescent="0.15">
      <c r="B285" s="72"/>
      <c r="C285" s="68"/>
      <c r="D285" s="13" t="s">
        <v>27</v>
      </c>
      <c r="E285" s="13">
        <v>2</v>
      </c>
      <c r="F285" s="22" t="s">
        <v>28</v>
      </c>
      <c r="G285" s="13"/>
      <c r="H285" s="13">
        <v>9</v>
      </c>
      <c r="I285" s="21" t="s">
        <v>29</v>
      </c>
      <c r="J285" s="13" t="s">
        <v>30</v>
      </c>
    </row>
    <row r="286" spans="2:10" ht="54" x14ac:dyDescent="0.15">
      <c r="B286" s="72"/>
      <c r="C286" s="68"/>
      <c r="D286" s="13" t="s">
        <v>31</v>
      </c>
      <c r="E286" s="13">
        <v>2</v>
      </c>
      <c r="F286" s="13">
        <v>15</v>
      </c>
      <c r="G286" s="13"/>
      <c r="H286" s="13">
        <v>9</v>
      </c>
      <c r="I286" s="21" t="s">
        <v>32</v>
      </c>
      <c r="J286" s="13" t="s">
        <v>33</v>
      </c>
    </row>
    <row r="287" spans="2:10" ht="54" x14ac:dyDescent="0.15">
      <c r="B287" s="72"/>
      <c r="C287" s="68"/>
      <c r="D287" s="13" t="s">
        <v>34</v>
      </c>
      <c r="E287" s="13">
        <v>2</v>
      </c>
      <c r="F287" s="13">
        <v>15</v>
      </c>
      <c r="G287" s="13"/>
      <c r="H287" s="13">
        <v>9</v>
      </c>
      <c r="I287" s="21" t="s">
        <v>29</v>
      </c>
      <c r="J287" s="13" t="s">
        <v>35</v>
      </c>
    </row>
    <row r="288" spans="2:10" ht="54" x14ac:dyDescent="0.15">
      <c r="B288" s="72"/>
      <c r="C288" s="69"/>
      <c r="D288" s="13" t="s">
        <v>36</v>
      </c>
      <c r="E288" s="13">
        <v>3</v>
      </c>
      <c r="F288" s="13">
        <v>10</v>
      </c>
      <c r="G288" s="13"/>
      <c r="H288" s="13">
        <v>7</v>
      </c>
      <c r="I288" s="21" t="s">
        <v>29</v>
      </c>
      <c r="J288" s="13" t="s">
        <v>37</v>
      </c>
    </row>
    <row r="289" spans="2:10" ht="54" x14ac:dyDescent="0.15">
      <c r="B289" s="72"/>
      <c r="C289" s="41" t="s">
        <v>38</v>
      </c>
      <c r="D289" s="24" t="s">
        <v>39</v>
      </c>
      <c r="E289" s="24">
        <v>3</v>
      </c>
      <c r="F289" s="24">
        <v>5</v>
      </c>
      <c r="G289" s="24">
        <f>IF(D4="kg",MROUND(F8*0.825,2.5),MROUND(F8*0.825,5))</f>
        <v>225</v>
      </c>
      <c r="H289" s="31">
        <v>0.82499999999999996</v>
      </c>
      <c r="I289" s="27" t="s">
        <v>25</v>
      </c>
      <c r="J289" s="24" t="s">
        <v>40</v>
      </c>
    </row>
    <row r="290" spans="2:10" ht="54" x14ac:dyDescent="0.15">
      <c r="B290" s="72"/>
      <c r="C290" s="68"/>
      <c r="D290" s="13" t="s">
        <v>41</v>
      </c>
      <c r="E290" s="13">
        <v>3</v>
      </c>
      <c r="F290" s="22" t="s">
        <v>21</v>
      </c>
      <c r="G290" s="13"/>
      <c r="H290" s="13">
        <v>8</v>
      </c>
      <c r="I290" s="21" t="s">
        <v>25</v>
      </c>
      <c r="J290" s="13" t="s">
        <v>42</v>
      </c>
    </row>
    <row r="291" spans="2:10" ht="54" x14ac:dyDescent="0.15">
      <c r="B291" s="72"/>
      <c r="C291" s="68"/>
      <c r="D291" s="13" t="s">
        <v>43</v>
      </c>
      <c r="E291" s="13">
        <v>2</v>
      </c>
      <c r="F291" s="22" t="s">
        <v>44</v>
      </c>
      <c r="G291" s="13"/>
      <c r="H291" s="13">
        <v>7</v>
      </c>
      <c r="I291" s="21" t="s">
        <v>29</v>
      </c>
      <c r="J291" s="13" t="s">
        <v>45</v>
      </c>
    </row>
    <row r="292" spans="2:10" ht="108" x14ac:dyDescent="0.15">
      <c r="B292" s="72"/>
      <c r="C292" s="68"/>
      <c r="D292" s="13" t="s">
        <v>46</v>
      </c>
      <c r="E292" s="13">
        <v>3</v>
      </c>
      <c r="F292" s="22" t="s">
        <v>47</v>
      </c>
      <c r="G292" s="13"/>
      <c r="H292" s="13">
        <v>9</v>
      </c>
      <c r="I292" s="21" t="s">
        <v>29</v>
      </c>
      <c r="J292" s="13" t="s">
        <v>48</v>
      </c>
    </row>
    <row r="293" spans="2:10" ht="108" x14ac:dyDescent="0.15">
      <c r="B293" s="72"/>
      <c r="C293" s="68"/>
      <c r="D293" s="13" t="s">
        <v>49</v>
      </c>
      <c r="E293" s="13">
        <v>4</v>
      </c>
      <c r="F293" s="13">
        <v>12</v>
      </c>
      <c r="G293" s="13"/>
      <c r="H293" s="13">
        <v>9</v>
      </c>
      <c r="I293" s="21" t="s">
        <v>29</v>
      </c>
      <c r="J293" s="13" t="s">
        <v>50</v>
      </c>
    </row>
    <row r="294" spans="2:10" ht="54" x14ac:dyDescent="0.15">
      <c r="B294" s="72"/>
      <c r="C294" s="68"/>
      <c r="D294" s="13" t="s">
        <v>51</v>
      </c>
      <c r="E294" s="13">
        <v>3</v>
      </c>
      <c r="F294" s="13">
        <v>15</v>
      </c>
      <c r="G294" s="13"/>
      <c r="H294" s="13">
        <v>8</v>
      </c>
      <c r="I294" s="21" t="s">
        <v>29</v>
      </c>
      <c r="J294" s="13" t="s">
        <v>52</v>
      </c>
    </row>
    <row r="295" spans="2:10" ht="81" x14ac:dyDescent="0.15">
      <c r="B295" s="72"/>
      <c r="C295" s="69"/>
      <c r="D295" s="28" t="s">
        <v>53</v>
      </c>
      <c r="E295" s="28">
        <v>3</v>
      </c>
      <c r="F295" s="28">
        <v>6</v>
      </c>
      <c r="G295" s="28"/>
      <c r="H295" s="28">
        <v>8</v>
      </c>
      <c r="I295" s="30" t="s">
        <v>29</v>
      </c>
      <c r="J295" s="28" t="s">
        <v>54</v>
      </c>
    </row>
    <row r="296" spans="2:10" ht="54" x14ac:dyDescent="0.15">
      <c r="B296" s="72"/>
      <c r="C296" s="41" t="s">
        <v>55</v>
      </c>
      <c r="D296" s="13" t="s">
        <v>56</v>
      </c>
      <c r="E296" s="13">
        <v>2</v>
      </c>
      <c r="F296" s="22" t="s">
        <v>57</v>
      </c>
      <c r="G296" s="13"/>
      <c r="H296" s="13">
        <v>5</v>
      </c>
      <c r="I296" s="21" t="s">
        <v>29</v>
      </c>
      <c r="J296" s="13" t="s">
        <v>58</v>
      </c>
    </row>
    <row r="297" spans="2:10" ht="27" x14ac:dyDescent="0.15">
      <c r="B297" s="72"/>
      <c r="C297" s="68"/>
      <c r="D297" s="13" t="s">
        <v>59</v>
      </c>
      <c r="E297" s="13">
        <v>4</v>
      </c>
      <c r="F297" s="22" t="s">
        <v>60</v>
      </c>
      <c r="G297" s="13"/>
      <c r="H297" s="13">
        <v>8</v>
      </c>
      <c r="I297" s="21" t="s">
        <v>25</v>
      </c>
      <c r="J297" s="13" t="s">
        <v>61</v>
      </c>
    </row>
    <row r="298" spans="2:10" ht="81" x14ac:dyDescent="0.15">
      <c r="B298" s="72"/>
      <c r="C298" s="68"/>
      <c r="D298" s="13" t="s">
        <v>62</v>
      </c>
      <c r="E298" s="13">
        <v>3</v>
      </c>
      <c r="F298" s="22" t="s">
        <v>21</v>
      </c>
      <c r="G298" s="13"/>
      <c r="H298" s="13">
        <v>8</v>
      </c>
      <c r="I298" s="21" t="s">
        <v>25</v>
      </c>
      <c r="J298" s="13" t="s">
        <v>63</v>
      </c>
    </row>
    <row r="299" spans="2:10" ht="27" x14ac:dyDescent="0.15">
      <c r="B299" s="72"/>
      <c r="C299" s="68"/>
      <c r="D299" s="13" t="s">
        <v>64</v>
      </c>
      <c r="E299" s="13">
        <v>3</v>
      </c>
      <c r="F299" s="22" t="s">
        <v>24</v>
      </c>
      <c r="G299" s="13"/>
      <c r="H299" s="13">
        <v>9</v>
      </c>
      <c r="I299" s="21" t="s">
        <v>29</v>
      </c>
      <c r="J299" s="13" t="s">
        <v>65</v>
      </c>
    </row>
    <row r="300" spans="2:10" ht="54" x14ac:dyDescent="0.15">
      <c r="B300" s="72"/>
      <c r="C300" s="68"/>
      <c r="D300" s="13" t="s">
        <v>66</v>
      </c>
      <c r="E300" s="13">
        <v>3</v>
      </c>
      <c r="F300" s="13">
        <v>20</v>
      </c>
      <c r="G300" s="13"/>
      <c r="H300" s="13">
        <v>9</v>
      </c>
      <c r="I300" s="21" t="s">
        <v>29</v>
      </c>
      <c r="J300" s="13" t="s">
        <v>67</v>
      </c>
    </row>
    <row r="301" spans="2:10" ht="54" x14ac:dyDescent="0.15">
      <c r="B301" s="72"/>
      <c r="C301" s="68"/>
      <c r="D301" s="13" t="s">
        <v>68</v>
      </c>
      <c r="E301" s="13">
        <v>3</v>
      </c>
      <c r="F301" s="13">
        <v>20</v>
      </c>
      <c r="G301" s="13"/>
      <c r="H301" s="13">
        <v>10</v>
      </c>
      <c r="I301" s="21" t="s">
        <v>32</v>
      </c>
      <c r="J301" s="13" t="s">
        <v>69</v>
      </c>
    </row>
    <row r="302" spans="2:10" ht="54" x14ac:dyDescent="0.15">
      <c r="B302" s="72"/>
      <c r="C302" s="68"/>
      <c r="D302" s="13" t="s">
        <v>70</v>
      </c>
      <c r="E302" s="13">
        <v>3</v>
      </c>
      <c r="F302" s="13">
        <v>15</v>
      </c>
      <c r="G302" s="13"/>
      <c r="H302" s="13">
        <v>10</v>
      </c>
      <c r="I302" s="21" t="s">
        <v>29</v>
      </c>
      <c r="J302" s="13" t="s">
        <v>71</v>
      </c>
    </row>
    <row r="303" spans="2:10" ht="54" x14ac:dyDescent="0.15">
      <c r="B303" s="72"/>
      <c r="C303" s="69"/>
      <c r="D303" s="13" t="s">
        <v>72</v>
      </c>
      <c r="E303" s="13">
        <v>3</v>
      </c>
      <c r="F303" s="13">
        <v>12</v>
      </c>
      <c r="G303" s="13"/>
      <c r="H303" s="13">
        <v>8</v>
      </c>
      <c r="I303" s="21" t="s">
        <v>29</v>
      </c>
      <c r="J303" s="13" t="s">
        <v>73</v>
      </c>
    </row>
    <row r="304" spans="2:10" ht="81" x14ac:dyDescent="0.15">
      <c r="B304" s="72"/>
      <c r="C304" s="41" t="s">
        <v>74</v>
      </c>
      <c r="D304" s="24" t="s">
        <v>75</v>
      </c>
      <c r="E304" s="24">
        <v>4</v>
      </c>
      <c r="F304" s="24">
        <v>5</v>
      </c>
      <c r="G304" s="24">
        <f>IF(D4="kg",MROUND(G8*0.775,2.5),MROUND(G8*0.775,5))</f>
        <v>390</v>
      </c>
      <c r="H304" s="31">
        <v>0.77500000000000002</v>
      </c>
      <c r="I304" s="27" t="s">
        <v>18</v>
      </c>
      <c r="J304" s="24" t="s">
        <v>76</v>
      </c>
    </row>
    <row r="305" spans="2:10" ht="54" x14ac:dyDescent="0.15">
      <c r="B305" s="72"/>
      <c r="C305" s="68"/>
      <c r="D305" s="13" t="s">
        <v>77</v>
      </c>
      <c r="E305" s="13">
        <v>3</v>
      </c>
      <c r="F305" s="22" t="s">
        <v>60</v>
      </c>
      <c r="G305" s="13"/>
      <c r="H305" s="22" t="s">
        <v>78</v>
      </c>
      <c r="I305" s="21" t="s">
        <v>25</v>
      </c>
      <c r="J305" s="13" t="s">
        <v>79</v>
      </c>
    </row>
    <row r="306" spans="2:10" ht="27" x14ac:dyDescent="0.15">
      <c r="B306" s="72"/>
      <c r="C306" s="68"/>
      <c r="D306" s="13" t="s">
        <v>80</v>
      </c>
      <c r="E306" s="13">
        <v>2</v>
      </c>
      <c r="F306" s="22" t="s">
        <v>24</v>
      </c>
      <c r="G306" s="13"/>
      <c r="H306" s="13">
        <v>8</v>
      </c>
      <c r="I306" s="21" t="s">
        <v>29</v>
      </c>
      <c r="J306" s="13" t="s">
        <v>81</v>
      </c>
    </row>
    <row r="307" spans="2:10" ht="54" x14ac:dyDescent="0.15">
      <c r="B307" s="72"/>
      <c r="C307" s="68"/>
      <c r="D307" s="13" t="s">
        <v>82</v>
      </c>
      <c r="E307" s="13">
        <v>3</v>
      </c>
      <c r="F307" s="13">
        <v>15</v>
      </c>
      <c r="G307" s="13"/>
      <c r="H307" s="13">
        <v>8</v>
      </c>
      <c r="I307" s="21" t="s">
        <v>29</v>
      </c>
      <c r="J307" s="13" t="s">
        <v>83</v>
      </c>
    </row>
    <row r="308" spans="2:10" ht="54" x14ac:dyDescent="0.15">
      <c r="B308" s="72"/>
      <c r="C308" s="68"/>
      <c r="D308" s="13" t="s">
        <v>84</v>
      </c>
      <c r="E308" s="13">
        <v>3</v>
      </c>
      <c r="F308" s="13">
        <v>12</v>
      </c>
      <c r="G308" s="13"/>
      <c r="H308" s="13">
        <v>8</v>
      </c>
      <c r="I308" s="21" t="s">
        <v>29</v>
      </c>
      <c r="J308" s="13" t="s">
        <v>85</v>
      </c>
    </row>
    <row r="309" spans="2:10" ht="54" x14ac:dyDescent="0.15">
      <c r="B309" s="72"/>
      <c r="C309" s="69"/>
      <c r="D309" s="28" t="s">
        <v>86</v>
      </c>
      <c r="E309" s="28">
        <v>3</v>
      </c>
      <c r="F309" s="28">
        <v>15</v>
      </c>
      <c r="G309" s="28"/>
      <c r="H309" s="28">
        <v>8</v>
      </c>
      <c r="I309" s="30" t="s">
        <v>29</v>
      </c>
      <c r="J309" s="28" t="s">
        <v>37</v>
      </c>
    </row>
    <row r="310" spans="2:10" ht="27" x14ac:dyDescent="0.15">
      <c r="B310" s="72"/>
      <c r="C310" s="41" t="s">
        <v>87</v>
      </c>
      <c r="D310" s="13" t="s">
        <v>88</v>
      </c>
      <c r="E310" s="13">
        <v>3</v>
      </c>
      <c r="F310" s="13">
        <v>8</v>
      </c>
      <c r="G310" s="13"/>
      <c r="H310" s="22" t="s">
        <v>89</v>
      </c>
      <c r="I310" s="21" t="s">
        <v>25</v>
      </c>
      <c r="J310" s="13" t="s">
        <v>90</v>
      </c>
    </row>
    <row r="311" spans="2:10" ht="81" x14ac:dyDescent="0.15">
      <c r="B311" s="72"/>
      <c r="C311" s="68"/>
      <c r="D311" s="13" t="s">
        <v>91</v>
      </c>
      <c r="E311" s="13">
        <v>3</v>
      </c>
      <c r="F311" s="13">
        <v>6</v>
      </c>
      <c r="G311" s="13">
        <f>IF(D4="kg",MROUND(H8*0.825,2.5),MROUND(H8*0.825,5))</f>
        <v>135</v>
      </c>
      <c r="H311" s="36">
        <v>0.82499999999999996</v>
      </c>
      <c r="I311" s="21" t="s">
        <v>25</v>
      </c>
      <c r="J311" s="13" t="s">
        <v>92</v>
      </c>
    </row>
    <row r="312" spans="2:10" ht="54" x14ac:dyDescent="0.15">
      <c r="B312" s="72"/>
      <c r="C312" s="68"/>
      <c r="D312" s="13" t="s">
        <v>93</v>
      </c>
      <c r="E312" s="13">
        <v>3</v>
      </c>
      <c r="F312" s="22" t="s">
        <v>24</v>
      </c>
      <c r="G312" s="13"/>
      <c r="H312" s="13">
        <v>8</v>
      </c>
      <c r="I312" s="21" t="s">
        <v>29</v>
      </c>
      <c r="J312" s="13" t="s">
        <v>94</v>
      </c>
    </row>
    <row r="313" spans="2:10" ht="54" x14ac:dyDescent="0.15">
      <c r="B313" s="72"/>
      <c r="C313" s="68"/>
      <c r="D313" s="13" t="s">
        <v>95</v>
      </c>
      <c r="E313" s="13">
        <v>3</v>
      </c>
      <c r="F313" s="13">
        <v>15</v>
      </c>
      <c r="G313" s="13"/>
      <c r="H313" s="13">
        <v>8</v>
      </c>
      <c r="I313" s="21" t="s">
        <v>29</v>
      </c>
      <c r="J313" s="13" t="s">
        <v>96</v>
      </c>
    </row>
    <row r="314" spans="2:10" ht="54" x14ac:dyDescent="0.15">
      <c r="B314" s="72"/>
      <c r="C314" s="68"/>
      <c r="D314" s="13" t="s">
        <v>97</v>
      </c>
      <c r="E314" s="13">
        <v>4</v>
      </c>
      <c r="F314" s="13">
        <v>8</v>
      </c>
      <c r="G314" s="13"/>
      <c r="H314" s="13">
        <v>9</v>
      </c>
      <c r="I314" s="21" t="s">
        <v>29</v>
      </c>
      <c r="J314" s="13" t="s">
        <v>98</v>
      </c>
    </row>
    <row r="315" spans="2:10" ht="54" x14ac:dyDescent="0.15">
      <c r="B315" s="72"/>
      <c r="C315" s="68"/>
      <c r="D315" s="13" t="s">
        <v>99</v>
      </c>
      <c r="E315" s="13">
        <v>3</v>
      </c>
      <c r="F315" s="13">
        <v>20</v>
      </c>
      <c r="G315" s="13"/>
      <c r="H315" s="13">
        <v>9</v>
      </c>
      <c r="I315" s="21" t="s">
        <v>29</v>
      </c>
      <c r="J315" s="13" t="s">
        <v>100</v>
      </c>
    </row>
    <row r="316" spans="2:10" ht="54" x14ac:dyDescent="0.15">
      <c r="B316" s="72"/>
      <c r="C316" s="69"/>
      <c r="D316" s="13" t="s">
        <v>101</v>
      </c>
      <c r="E316" s="13">
        <v>3</v>
      </c>
      <c r="F316" s="13">
        <v>12</v>
      </c>
      <c r="G316" s="13"/>
      <c r="H316" s="13">
        <v>8</v>
      </c>
      <c r="I316" s="21" t="s">
        <v>29</v>
      </c>
      <c r="J316" s="13" t="s">
        <v>102</v>
      </c>
    </row>
    <row r="317" spans="2:10" ht="27" x14ac:dyDescent="0.15">
      <c r="B317" s="72"/>
      <c r="C317" s="41" t="s">
        <v>103</v>
      </c>
      <c r="D317" s="24" t="s">
        <v>104</v>
      </c>
      <c r="E317" s="24">
        <v>4</v>
      </c>
      <c r="F317" s="32" t="s">
        <v>24</v>
      </c>
      <c r="G317" s="24"/>
      <c r="H317" s="24">
        <v>8</v>
      </c>
      <c r="I317" s="27" t="s">
        <v>25</v>
      </c>
      <c r="J317" s="24" t="s">
        <v>105</v>
      </c>
    </row>
    <row r="318" spans="2:10" ht="54" x14ac:dyDescent="0.15">
      <c r="B318" s="72"/>
      <c r="C318" s="68"/>
      <c r="D318" s="13" t="s">
        <v>106</v>
      </c>
      <c r="E318" s="13">
        <v>3</v>
      </c>
      <c r="F318" s="13">
        <v>10</v>
      </c>
      <c r="G318" s="13"/>
      <c r="H318" s="13">
        <v>8</v>
      </c>
      <c r="I318" s="21" t="s">
        <v>32</v>
      </c>
      <c r="J318" s="13" t="s">
        <v>107</v>
      </c>
    </row>
    <row r="319" spans="2:10" ht="54" x14ac:dyDescent="0.15">
      <c r="B319" s="72"/>
      <c r="C319" s="68"/>
      <c r="D319" s="13" t="s">
        <v>108</v>
      </c>
      <c r="E319" s="13">
        <v>3</v>
      </c>
      <c r="F319" s="13">
        <v>10</v>
      </c>
      <c r="G319" s="13"/>
      <c r="H319" s="13">
        <v>8</v>
      </c>
      <c r="I319" s="21" t="s">
        <v>25</v>
      </c>
      <c r="J319" s="13" t="s">
        <v>109</v>
      </c>
    </row>
    <row r="320" spans="2:10" ht="54" x14ac:dyDescent="0.15">
      <c r="B320" s="72"/>
      <c r="C320" s="68"/>
      <c r="D320" s="13" t="s">
        <v>110</v>
      </c>
      <c r="E320" s="13">
        <v>3</v>
      </c>
      <c r="F320" s="13">
        <v>15</v>
      </c>
      <c r="G320" s="13"/>
      <c r="H320" s="13">
        <v>7</v>
      </c>
      <c r="I320" s="21" t="s">
        <v>29</v>
      </c>
      <c r="J320" s="13" t="s">
        <v>111</v>
      </c>
    </row>
    <row r="321" spans="2:10" ht="54" x14ac:dyDescent="0.15">
      <c r="B321" s="72"/>
      <c r="C321" s="68"/>
      <c r="D321" s="13" t="s">
        <v>112</v>
      </c>
      <c r="E321" s="13">
        <v>3</v>
      </c>
      <c r="F321" s="13">
        <v>15</v>
      </c>
      <c r="G321" s="13"/>
      <c r="H321" s="13">
        <v>8</v>
      </c>
      <c r="I321" s="21" t="s">
        <v>113</v>
      </c>
      <c r="J321" s="13" t="s">
        <v>114</v>
      </c>
    </row>
    <row r="322" spans="2:10" ht="27" x14ac:dyDescent="0.15">
      <c r="B322" s="72"/>
      <c r="C322" s="68"/>
      <c r="D322" s="13" t="s">
        <v>115</v>
      </c>
      <c r="E322" s="13">
        <v>3</v>
      </c>
      <c r="F322" s="13">
        <v>20</v>
      </c>
      <c r="G322" s="13"/>
      <c r="H322" s="13">
        <v>8</v>
      </c>
      <c r="I322" s="21" t="s">
        <v>32</v>
      </c>
      <c r="J322" s="13" t="s">
        <v>116</v>
      </c>
    </row>
    <row r="323" spans="2:10" ht="54" x14ac:dyDescent="0.15">
      <c r="B323" s="72"/>
      <c r="C323" s="68"/>
      <c r="D323" s="13" t="s">
        <v>117</v>
      </c>
      <c r="E323" s="13">
        <v>3</v>
      </c>
      <c r="F323" s="13">
        <v>12</v>
      </c>
      <c r="G323" s="13"/>
      <c r="H323" s="13">
        <v>7</v>
      </c>
      <c r="I323" s="21" t="s">
        <v>29</v>
      </c>
      <c r="J323" s="13" t="s">
        <v>118</v>
      </c>
    </row>
    <row r="324" spans="2:10" ht="54" x14ac:dyDescent="0.15">
      <c r="B324" s="73"/>
      <c r="C324" s="69"/>
      <c r="D324" s="28" t="s">
        <v>119</v>
      </c>
      <c r="E324" s="28">
        <v>3</v>
      </c>
      <c r="F324" s="28">
        <v>8</v>
      </c>
      <c r="G324" s="28"/>
      <c r="H324" s="28">
        <v>7</v>
      </c>
      <c r="I324" s="30" t="s">
        <v>29</v>
      </c>
      <c r="J324" s="28" t="s">
        <v>73</v>
      </c>
    </row>
    <row r="325" spans="2:10" ht="26" x14ac:dyDescent="0.2">
      <c r="C325" s="33"/>
      <c r="D325" s="13"/>
      <c r="E325" s="34"/>
      <c r="F325" s="35"/>
    </row>
    <row r="326" spans="2:10" ht="22" x14ac:dyDescent="0.15">
      <c r="B326" s="52" t="s">
        <v>126</v>
      </c>
      <c r="C326" s="15" t="s">
        <v>9</v>
      </c>
      <c r="D326" s="16" t="s">
        <v>10</v>
      </c>
      <c r="E326" s="16" t="s">
        <v>11</v>
      </c>
      <c r="F326" s="17" t="s">
        <v>12</v>
      </c>
      <c r="G326" s="16" t="str">
        <f>IF(D4 = "kg", "Load (kg)", "Load (lbs)")</f>
        <v>Load (lbs)</v>
      </c>
      <c r="H326" s="17" t="s">
        <v>13</v>
      </c>
      <c r="I326" s="17" t="s">
        <v>14</v>
      </c>
      <c r="J326" s="18" t="s">
        <v>15</v>
      </c>
    </row>
    <row r="327" spans="2:10" ht="54" x14ac:dyDescent="0.15">
      <c r="B327" s="70"/>
      <c r="C327" s="68" t="s">
        <v>16</v>
      </c>
      <c r="D327" s="13" t="s">
        <v>17</v>
      </c>
      <c r="E327" s="13">
        <v>3</v>
      </c>
      <c r="F327" s="13">
        <v>6</v>
      </c>
      <c r="G327" s="13">
        <f>IF(D4="kg",MROUND(E8*0.8,2.5),MROUND(E8*0.8,5))</f>
        <v>235</v>
      </c>
      <c r="H327" s="20">
        <v>0.8</v>
      </c>
      <c r="I327" s="21" t="s">
        <v>18</v>
      </c>
      <c r="J327" s="13" t="s">
        <v>19</v>
      </c>
    </row>
    <row r="328" spans="2:10" ht="54" x14ac:dyDescent="0.15">
      <c r="B328" s="70"/>
      <c r="C328" s="68"/>
      <c r="D328" s="13" t="s">
        <v>20</v>
      </c>
      <c r="E328" s="13">
        <v>3</v>
      </c>
      <c r="F328" s="22" t="s">
        <v>21</v>
      </c>
      <c r="G328" s="19"/>
      <c r="H328" s="23">
        <v>7</v>
      </c>
      <c r="I328" s="21" t="s">
        <v>18</v>
      </c>
      <c r="J328" s="13" t="s">
        <v>22</v>
      </c>
    </row>
    <row r="329" spans="2:10" ht="54" x14ac:dyDescent="0.15">
      <c r="B329" s="70"/>
      <c r="C329" s="68"/>
      <c r="D329" s="13" t="s">
        <v>23</v>
      </c>
      <c r="E329" s="13">
        <v>2</v>
      </c>
      <c r="F329" s="22" t="s">
        <v>24</v>
      </c>
      <c r="G329" s="19"/>
      <c r="H329" s="13">
        <v>6</v>
      </c>
      <c r="I329" s="21" t="s">
        <v>25</v>
      </c>
      <c r="J329" s="13" t="s">
        <v>26</v>
      </c>
    </row>
    <row r="330" spans="2:10" ht="54" x14ac:dyDescent="0.15">
      <c r="B330" s="70"/>
      <c r="C330" s="68"/>
      <c r="D330" s="13" t="s">
        <v>27</v>
      </c>
      <c r="E330" s="13">
        <v>2</v>
      </c>
      <c r="F330" s="22" t="s">
        <v>28</v>
      </c>
      <c r="G330" s="13"/>
      <c r="H330" s="13">
        <v>9</v>
      </c>
      <c r="I330" s="21" t="s">
        <v>29</v>
      </c>
      <c r="J330" s="13" t="s">
        <v>30</v>
      </c>
    </row>
    <row r="331" spans="2:10" ht="54" x14ac:dyDescent="0.15">
      <c r="B331" s="70"/>
      <c r="C331" s="68"/>
      <c r="D331" s="13" t="s">
        <v>31</v>
      </c>
      <c r="E331" s="13">
        <v>2</v>
      </c>
      <c r="F331" s="13">
        <v>15</v>
      </c>
      <c r="G331" s="13"/>
      <c r="H331" s="13">
        <v>9</v>
      </c>
      <c r="I331" s="21" t="s">
        <v>32</v>
      </c>
      <c r="J331" s="13" t="s">
        <v>33</v>
      </c>
    </row>
    <row r="332" spans="2:10" ht="54" x14ac:dyDescent="0.15">
      <c r="B332" s="70"/>
      <c r="C332" s="68"/>
      <c r="D332" s="13" t="s">
        <v>34</v>
      </c>
      <c r="E332" s="13">
        <v>2</v>
      </c>
      <c r="F332" s="13">
        <v>15</v>
      </c>
      <c r="G332" s="13"/>
      <c r="H332" s="13">
        <v>9</v>
      </c>
      <c r="I332" s="21" t="s">
        <v>29</v>
      </c>
      <c r="J332" s="13" t="s">
        <v>35</v>
      </c>
    </row>
    <row r="333" spans="2:10" ht="54" x14ac:dyDescent="0.15">
      <c r="B333" s="70"/>
      <c r="C333" s="69"/>
      <c r="D333" s="13" t="s">
        <v>36</v>
      </c>
      <c r="E333" s="13">
        <v>3</v>
      </c>
      <c r="F333" s="13">
        <v>10</v>
      </c>
      <c r="G333" s="13"/>
      <c r="H333" s="13">
        <v>7</v>
      </c>
      <c r="I333" s="21" t="s">
        <v>29</v>
      </c>
      <c r="J333" s="13" t="s">
        <v>37</v>
      </c>
    </row>
    <row r="334" spans="2:10" ht="54" x14ac:dyDescent="0.15">
      <c r="B334" s="70"/>
      <c r="C334" s="41" t="s">
        <v>38</v>
      </c>
      <c r="D334" s="24" t="s">
        <v>39</v>
      </c>
      <c r="E334" s="24">
        <v>3</v>
      </c>
      <c r="F334" s="24">
        <v>5</v>
      </c>
      <c r="G334" s="24">
        <f>IF(D4="kg",MROUND(F8*0.85,2.5),MROUND(F8*0.85,5))</f>
        <v>235</v>
      </c>
      <c r="H334" s="26">
        <v>0.85</v>
      </c>
      <c r="I334" s="27" t="s">
        <v>25</v>
      </c>
      <c r="J334" s="24" t="s">
        <v>40</v>
      </c>
    </row>
    <row r="335" spans="2:10" ht="54" x14ac:dyDescent="0.15">
      <c r="B335" s="70"/>
      <c r="C335" s="68"/>
      <c r="D335" s="13" t="s">
        <v>41</v>
      </c>
      <c r="E335" s="13">
        <v>3</v>
      </c>
      <c r="F335" s="22" t="s">
        <v>21</v>
      </c>
      <c r="G335" s="13"/>
      <c r="H335" s="13">
        <v>8</v>
      </c>
      <c r="I335" s="21" t="s">
        <v>25</v>
      </c>
      <c r="J335" s="13" t="s">
        <v>42</v>
      </c>
    </row>
    <row r="336" spans="2:10" ht="54" x14ac:dyDescent="0.15">
      <c r="B336" s="70"/>
      <c r="C336" s="68"/>
      <c r="D336" s="13" t="s">
        <v>43</v>
      </c>
      <c r="E336" s="13">
        <v>2</v>
      </c>
      <c r="F336" s="22" t="s">
        <v>44</v>
      </c>
      <c r="G336" s="13"/>
      <c r="H336" s="13">
        <v>7</v>
      </c>
      <c r="I336" s="21" t="s">
        <v>29</v>
      </c>
      <c r="J336" s="13" t="s">
        <v>45</v>
      </c>
    </row>
    <row r="337" spans="2:10" ht="108" x14ac:dyDescent="0.15">
      <c r="B337" s="70"/>
      <c r="C337" s="68"/>
      <c r="D337" s="13" t="s">
        <v>46</v>
      </c>
      <c r="E337" s="13">
        <v>3</v>
      </c>
      <c r="F337" s="22" t="s">
        <v>47</v>
      </c>
      <c r="G337" s="13"/>
      <c r="H337" s="13">
        <v>9</v>
      </c>
      <c r="I337" s="21" t="s">
        <v>29</v>
      </c>
      <c r="J337" s="13" t="s">
        <v>48</v>
      </c>
    </row>
    <row r="338" spans="2:10" ht="108" x14ac:dyDescent="0.15">
      <c r="B338" s="70"/>
      <c r="C338" s="68"/>
      <c r="D338" s="13" t="s">
        <v>49</v>
      </c>
      <c r="E338" s="13">
        <v>4</v>
      </c>
      <c r="F338" s="13">
        <v>12</v>
      </c>
      <c r="G338" s="13"/>
      <c r="H338" s="13">
        <v>9</v>
      </c>
      <c r="I338" s="21" t="s">
        <v>29</v>
      </c>
      <c r="J338" s="13" t="s">
        <v>50</v>
      </c>
    </row>
    <row r="339" spans="2:10" ht="54" x14ac:dyDescent="0.15">
      <c r="B339" s="70"/>
      <c r="C339" s="68"/>
      <c r="D339" s="13" t="s">
        <v>51</v>
      </c>
      <c r="E339" s="13">
        <v>3</v>
      </c>
      <c r="F339" s="13">
        <v>15</v>
      </c>
      <c r="G339" s="13"/>
      <c r="H339" s="13">
        <v>8</v>
      </c>
      <c r="I339" s="21" t="s">
        <v>29</v>
      </c>
      <c r="J339" s="13" t="s">
        <v>52</v>
      </c>
    </row>
    <row r="340" spans="2:10" ht="81" x14ac:dyDescent="0.15">
      <c r="B340" s="70"/>
      <c r="C340" s="69"/>
      <c r="D340" s="28" t="s">
        <v>53</v>
      </c>
      <c r="E340" s="28">
        <v>3</v>
      </c>
      <c r="F340" s="28">
        <v>6</v>
      </c>
      <c r="G340" s="28"/>
      <c r="H340" s="28">
        <v>8</v>
      </c>
      <c r="I340" s="30" t="s">
        <v>29</v>
      </c>
      <c r="J340" s="28" t="s">
        <v>54</v>
      </c>
    </row>
    <row r="341" spans="2:10" ht="54" x14ac:dyDescent="0.15">
      <c r="B341" s="70"/>
      <c r="C341" s="41" t="s">
        <v>55</v>
      </c>
      <c r="D341" s="13" t="s">
        <v>56</v>
      </c>
      <c r="E341" s="13">
        <v>2</v>
      </c>
      <c r="F341" s="22" t="s">
        <v>57</v>
      </c>
      <c r="G341" s="13"/>
      <c r="H341" s="13">
        <v>5</v>
      </c>
      <c r="I341" s="21" t="s">
        <v>29</v>
      </c>
      <c r="J341" s="13" t="s">
        <v>58</v>
      </c>
    </row>
    <row r="342" spans="2:10" ht="27" x14ac:dyDescent="0.15">
      <c r="B342" s="70"/>
      <c r="C342" s="68"/>
      <c r="D342" s="13" t="s">
        <v>59</v>
      </c>
      <c r="E342" s="13">
        <v>4</v>
      </c>
      <c r="F342" s="22" t="s">
        <v>60</v>
      </c>
      <c r="G342" s="13"/>
      <c r="H342" s="13">
        <v>8</v>
      </c>
      <c r="I342" s="21" t="s">
        <v>25</v>
      </c>
      <c r="J342" s="13" t="s">
        <v>61</v>
      </c>
    </row>
    <row r="343" spans="2:10" ht="81" x14ac:dyDescent="0.15">
      <c r="B343" s="70"/>
      <c r="C343" s="68"/>
      <c r="D343" s="13" t="s">
        <v>62</v>
      </c>
      <c r="E343" s="13">
        <v>3</v>
      </c>
      <c r="F343" s="22" t="s">
        <v>21</v>
      </c>
      <c r="G343" s="13"/>
      <c r="H343" s="13">
        <v>8</v>
      </c>
      <c r="I343" s="21" t="s">
        <v>25</v>
      </c>
      <c r="J343" s="13" t="s">
        <v>63</v>
      </c>
    </row>
    <row r="344" spans="2:10" ht="27" x14ac:dyDescent="0.15">
      <c r="B344" s="70"/>
      <c r="C344" s="68"/>
      <c r="D344" s="13" t="s">
        <v>64</v>
      </c>
      <c r="E344" s="13">
        <v>3</v>
      </c>
      <c r="F344" s="22" t="s">
        <v>24</v>
      </c>
      <c r="G344" s="13"/>
      <c r="H344" s="13">
        <v>9</v>
      </c>
      <c r="I344" s="21" t="s">
        <v>29</v>
      </c>
      <c r="J344" s="13" t="s">
        <v>65</v>
      </c>
    </row>
    <row r="345" spans="2:10" ht="54" x14ac:dyDescent="0.15">
      <c r="B345" s="70"/>
      <c r="C345" s="68"/>
      <c r="D345" s="13" t="s">
        <v>66</v>
      </c>
      <c r="E345" s="13">
        <v>3</v>
      </c>
      <c r="F345" s="13">
        <v>20</v>
      </c>
      <c r="G345" s="13"/>
      <c r="H345" s="13">
        <v>9</v>
      </c>
      <c r="I345" s="21" t="s">
        <v>29</v>
      </c>
      <c r="J345" s="13" t="s">
        <v>67</v>
      </c>
    </row>
    <row r="346" spans="2:10" ht="54" x14ac:dyDescent="0.15">
      <c r="B346" s="70"/>
      <c r="C346" s="68"/>
      <c r="D346" s="13" t="s">
        <v>68</v>
      </c>
      <c r="E346" s="13">
        <v>3</v>
      </c>
      <c r="F346" s="13">
        <v>20</v>
      </c>
      <c r="G346" s="13"/>
      <c r="H346" s="13">
        <v>10</v>
      </c>
      <c r="I346" s="21" t="s">
        <v>32</v>
      </c>
      <c r="J346" s="13" t="s">
        <v>69</v>
      </c>
    </row>
    <row r="347" spans="2:10" ht="54" x14ac:dyDescent="0.15">
      <c r="B347" s="70"/>
      <c r="C347" s="68"/>
      <c r="D347" s="13" t="s">
        <v>70</v>
      </c>
      <c r="E347" s="13">
        <v>3</v>
      </c>
      <c r="F347" s="13">
        <v>15</v>
      </c>
      <c r="G347" s="13"/>
      <c r="H347" s="13">
        <v>10</v>
      </c>
      <c r="I347" s="21" t="s">
        <v>29</v>
      </c>
      <c r="J347" s="13" t="s">
        <v>71</v>
      </c>
    </row>
    <row r="348" spans="2:10" ht="54" x14ac:dyDescent="0.15">
      <c r="B348" s="70"/>
      <c r="C348" s="69"/>
      <c r="D348" s="13" t="s">
        <v>72</v>
      </c>
      <c r="E348" s="13">
        <v>3</v>
      </c>
      <c r="F348" s="13">
        <v>12</v>
      </c>
      <c r="G348" s="13"/>
      <c r="H348" s="13">
        <v>8</v>
      </c>
      <c r="I348" s="21" t="s">
        <v>29</v>
      </c>
      <c r="J348" s="13" t="s">
        <v>73</v>
      </c>
    </row>
    <row r="349" spans="2:10" ht="81" x14ac:dyDescent="0.15">
      <c r="B349" s="70"/>
      <c r="C349" s="41" t="s">
        <v>74</v>
      </c>
      <c r="D349" s="24" t="s">
        <v>75</v>
      </c>
      <c r="E349" s="24">
        <v>3</v>
      </c>
      <c r="F349" s="24">
        <v>6</v>
      </c>
      <c r="G349" s="24">
        <f>IF(D4="kg",MROUND(G8*0.8,2.5),MROUND(G8*0.8,5))</f>
        <v>400</v>
      </c>
      <c r="H349" s="26">
        <v>0.8</v>
      </c>
      <c r="I349" s="27" t="s">
        <v>18</v>
      </c>
      <c r="J349" s="24" t="s">
        <v>76</v>
      </c>
    </row>
    <row r="350" spans="2:10" ht="54" x14ac:dyDescent="0.15">
      <c r="B350" s="70"/>
      <c r="C350" s="68"/>
      <c r="D350" s="13" t="s">
        <v>77</v>
      </c>
      <c r="E350" s="13">
        <v>3</v>
      </c>
      <c r="F350" s="22" t="s">
        <v>60</v>
      </c>
      <c r="G350" s="13"/>
      <c r="H350" s="22" t="s">
        <v>78</v>
      </c>
      <c r="I350" s="21" t="s">
        <v>25</v>
      </c>
      <c r="J350" s="13" t="s">
        <v>79</v>
      </c>
    </row>
    <row r="351" spans="2:10" ht="27" x14ac:dyDescent="0.15">
      <c r="B351" s="70"/>
      <c r="C351" s="68"/>
      <c r="D351" s="13" t="s">
        <v>80</v>
      </c>
      <c r="E351" s="13">
        <v>2</v>
      </c>
      <c r="F351" s="22" t="s">
        <v>24</v>
      </c>
      <c r="G351" s="13"/>
      <c r="H351" s="13">
        <v>8</v>
      </c>
      <c r="I351" s="21" t="s">
        <v>29</v>
      </c>
      <c r="J351" s="13" t="s">
        <v>81</v>
      </c>
    </row>
    <row r="352" spans="2:10" ht="54" x14ac:dyDescent="0.15">
      <c r="B352" s="70"/>
      <c r="C352" s="68"/>
      <c r="D352" s="13" t="s">
        <v>82</v>
      </c>
      <c r="E352" s="13">
        <v>3</v>
      </c>
      <c r="F352" s="13">
        <v>15</v>
      </c>
      <c r="G352" s="13"/>
      <c r="H352" s="13">
        <v>8</v>
      </c>
      <c r="I352" s="21" t="s">
        <v>29</v>
      </c>
      <c r="J352" s="13" t="s">
        <v>83</v>
      </c>
    </row>
    <row r="353" spans="2:10" ht="54" x14ac:dyDescent="0.15">
      <c r="B353" s="70"/>
      <c r="C353" s="68"/>
      <c r="D353" s="13" t="s">
        <v>84</v>
      </c>
      <c r="E353" s="13">
        <v>3</v>
      </c>
      <c r="F353" s="13">
        <v>12</v>
      </c>
      <c r="G353" s="13"/>
      <c r="H353" s="13">
        <v>8</v>
      </c>
      <c r="I353" s="21" t="s">
        <v>29</v>
      </c>
      <c r="J353" s="13" t="s">
        <v>85</v>
      </c>
    </row>
    <row r="354" spans="2:10" ht="54" x14ac:dyDescent="0.15">
      <c r="B354" s="70"/>
      <c r="C354" s="69"/>
      <c r="D354" s="28" t="s">
        <v>86</v>
      </c>
      <c r="E354" s="28">
        <v>3</v>
      </c>
      <c r="F354" s="28">
        <v>15</v>
      </c>
      <c r="G354" s="28"/>
      <c r="H354" s="28">
        <v>8</v>
      </c>
      <c r="I354" s="30" t="s">
        <v>29</v>
      </c>
      <c r="J354" s="28" t="s">
        <v>37</v>
      </c>
    </row>
    <row r="355" spans="2:10" ht="27" x14ac:dyDescent="0.15">
      <c r="B355" s="70"/>
      <c r="C355" s="41" t="s">
        <v>87</v>
      </c>
      <c r="D355" s="13" t="s">
        <v>88</v>
      </c>
      <c r="E355" s="13">
        <v>3</v>
      </c>
      <c r="F355" s="13">
        <v>8</v>
      </c>
      <c r="G355" s="13"/>
      <c r="H355" s="22" t="s">
        <v>89</v>
      </c>
      <c r="I355" s="21" t="s">
        <v>25</v>
      </c>
      <c r="J355" s="13" t="s">
        <v>90</v>
      </c>
    </row>
    <row r="356" spans="2:10" ht="81" x14ac:dyDescent="0.15">
      <c r="B356" s="70"/>
      <c r="C356" s="68"/>
      <c r="D356" s="13" t="s">
        <v>91</v>
      </c>
      <c r="E356" s="13">
        <v>3</v>
      </c>
      <c r="F356" s="13">
        <v>6</v>
      </c>
      <c r="G356" s="13">
        <f>IF(D4="kg",MROUND(H8*0.825,2.5),MROUND(H8*0.825,5))</f>
        <v>135</v>
      </c>
      <c r="H356" s="36">
        <v>0.82499999999999996</v>
      </c>
      <c r="I356" s="21" t="s">
        <v>25</v>
      </c>
      <c r="J356" s="13" t="s">
        <v>92</v>
      </c>
    </row>
    <row r="357" spans="2:10" ht="54" x14ac:dyDescent="0.15">
      <c r="B357" s="70"/>
      <c r="C357" s="68"/>
      <c r="D357" s="13" t="s">
        <v>93</v>
      </c>
      <c r="E357" s="13">
        <v>3</v>
      </c>
      <c r="F357" s="22" t="s">
        <v>24</v>
      </c>
      <c r="G357" s="13"/>
      <c r="H357" s="13">
        <v>8</v>
      </c>
      <c r="I357" s="21" t="s">
        <v>29</v>
      </c>
      <c r="J357" s="13" t="s">
        <v>94</v>
      </c>
    </row>
    <row r="358" spans="2:10" ht="54" x14ac:dyDescent="0.15">
      <c r="B358" s="70"/>
      <c r="C358" s="68"/>
      <c r="D358" s="13" t="s">
        <v>95</v>
      </c>
      <c r="E358" s="13">
        <v>3</v>
      </c>
      <c r="F358" s="13">
        <v>15</v>
      </c>
      <c r="G358" s="13"/>
      <c r="H358" s="13">
        <v>8</v>
      </c>
      <c r="I358" s="21" t="s">
        <v>29</v>
      </c>
      <c r="J358" s="13" t="s">
        <v>96</v>
      </c>
    </row>
    <row r="359" spans="2:10" ht="54" x14ac:dyDescent="0.15">
      <c r="B359" s="70"/>
      <c r="C359" s="68"/>
      <c r="D359" s="13" t="s">
        <v>97</v>
      </c>
      <c r="E359" s="13">
        <v>4</v>
      </c>
      <c r="F359" s="13">
        <v>8</v>
      </c>
      <c r="G359" s="13"/>
      <c r="H359" s="13">
        <v>9</v>
      </c>
      <c r="I359" s="21" t="s">
        <v>29</v>
      </c>
      <c r="J359" s="13" t="s">
        <v>98</v>
      </c>
    </row>
    <row r="360" spans="2:10" ht="54" x14ac:dyDescent="0.15">
      <c r="B360" s="70"/>
      <c r="C360" s="68"/>
      <c r="D360" s="13" t="s">
        <v>99</v>
      </c>
      <c r="E360" s="13">
        <v>3</v>
      </c>
      <c r="F360" s="13">
        <v>20</v>
      </c>
      <c r="G360" s="13"/>
      <c r="H360" s="13">
        <v>9</v>
      </c>
      <c r="I360" s="21" t="s">
        <v>29</v>
      </c>
      <c r="J360" s="13" t="s">
        <v>100</v>
      </c>
    </row>
    <row r="361" spans="2:10" ht="54" x14ac:dyDescent="0.15">
      <c r="B361" s="70"/>
      <c r="C361" s="69"/>
      <c r="D361" s="13" t="s">
        <v>101</v>
      </c>
      <c r="E361" s="13">
        <v>3</v>
      </c>
      <c r="F361" s="13">
        <v>12</v>
      </c>
      <c r="G361" s="13"/>
      <c r="H361" s="13">
        <v>8</v>
      </c>
      <c r="I361" s="21" t="s">
        <v>29</v>
      </c>
      <c r="J361" s="13" t="s">
        <v>102</v>
      </c>
    </row>
    <row r="362" spans="2:10" ht="27" x14ac:dyDescent="0.15">
      <c r="B362" s="70"/>
      <c r="C362" s="41" t="s">
        <v>103</v>
      </c>
      <c r="D362" s="24" t="s">
        <v>104</v>
      </c>
      <c r="E362" s="24">
        <v>4</v>
      </c>
      <c r="F362" s="32" t="s">
        <v>24</v>
      </c>
      <c r="G362" s="24"/>
      <c r="H362" s="24">
        <v>8</v>
      </c>
      <c r="I362" s="27" t="s">
        <v>25</v>
      </c>
      <c r="J362" s="24" t="s">
        <v>105</v>
      </c>
    </row>
    <row r="363" spans="2:10" ht="54" x14ac:dyDescent="0.15">
      <c r="B363" s="70"/>
      <c r="C363" s="68"/>
      <c r="D363" s="13" t="s">
        <v>106</v>
      </c>
      <c r="E363" s="13">
        <v>3</v>
      </c>
      <c r="F363" s="13">
        <v>10</v>
      </c>
      <c r="G363" s="13"/>
      <c r="H363" s="13">
        <v>8</v>
      </c>
      <c r="I363" s="21" t="s">
        <v>32</v>
      </c>
      <c r="J363" s="13" t="s">
        <v>107</v>
      </c>
    </row>
    <row r="364" spans="2:10" ht="54" x14ac:dyDescent="0.15">
      <c r="B364" s="70"/>
      <c r="C364" s="68"/>
      <c r="D364" s="13" t="s">
        <v>108</v>
      </c>
      <c r="E364" s="13">
        <v>3</v>
      </c>
      <c r="F364" s="13">
        <v>10</v>
      </c>
      <c r="G364" s="13"/>
      <c r="H364" s="13">
        <v>8</v>
      </c>
      <c r="I364" s="21" t="s">
        <v>25</v>
      </c>
      <c r="J364" s="13" t="s">
        <v>109</v>
      </c>
    </row>
    <row r="365" spans="2:10" ht="54" x14ac:dyDescent="0.15">
      <c r="B365" s="70"/>
      <c r="C365" s="68"/>
      <c r="D365" s="13" t="s">
        <v>110</v>
      </c>
      <c r="E365" s="13">
        <v>3</v>
      </c>
      <c r="F365" s="13">
        <v>15</v>
      </c>
      <c r="G365" s="13"/>
      <c r="H365" s="13">
        <v>7</v>
      </c>
      <c r="I365" s="21" t="s">
        <v>29</v>
      </c>
      <c r="J365" s="13" t="s">
        <v>111</v>
      </c>
    </row>
    <row r="366" spans="2:10" ht="54" x14ac:dyDescent="0.15">
      <c r="B366" s="70"/>
      <c r="C366" s="68"/>
      <c r="D366" s="13" t="s">
        <v>112</v>
      </c>
      <c r="E366" s="13">
        <v>3</v>
      </c>
      <c r="F366" s="13">
        <v>15</v>
      </c>
      <c r="G366" s="13"/>
      <c r="H366" s="13">
        <v>8</v>
      </c>
      <c r="I366" s="21" t="s">
        <v>113</v>
      </c>
      <c r="J366" s="13" t="s">
        <v>114</v>
      </c>
    </row>
    <row r="367" spans="2:10" ht="27" x14ac:dyDescent="0.15">
      <c r="B367" s="70"/>
      <c r="C367" s="68"/>
      <c r="D367" s="13" t="s">
        <v>115</v>
      </c>
      <c r="E367" s="13">
        <v>3</v>
      </c>
      <c r="F367" s="13">
        <v>20</v>
      </c>
      <c r="G367" s="13"/>
      <c r="H367" s="13">
        <v>8</v>
      </c>
      <c r="I367" s="21" t="s">
        <v>32</v>
      </c>
      <c r="J367" s="13" t="s">
        <v>116</v>
      </c>
    </row>
    <row r="368" spans="2:10" ht="54" x14ac:dyDescent="0.15">
      <c r="B368" s="70"/>
      <c r="C368" s="68"/>
      <c r="D368" s="13" t="s">
        <v>117</v>
      </c>
      <c r="E368" s="13">
        <v>3</v>
      </c>
      <c r="F368" s="13">
        <v>12</v>
      </c>
      <c r="G368" s="13"/>
      <c r="H368" s="13">
        <v>7</v>
      </c>
      <c r="I368" s="21" t="s">
        <v>29</v>
      </c>
      <c r="J368" s="13" t="s">
        <v>118</v>
      </c>
    </row>
    <row r="369" spans="2:10" ht="54" x14ac:dyDescent="0.15">
      <c r="B369" s="71"/>
      <c r="C369" s="69"/>
      <c r="D369" s="28" t="s">
        <v>119</v>
      </c>
      <c r="E369" s="28">
        <v>3</v>
      </c>
      <c r="F369" s="28">
        <v>8</v>
      </c>
      <c r="G369" s="28"/>
      <c r="H369" s="28">
        <v>7</v>
      </c>
      <c r="I369" s="30" t="s">
        <v>29</v>
      </c>
      <c r="J369" s="28" t="s">
        <v>73</v>
      </c>
    </row>
  </sheetData>
  <mergeCells count="60">
    <mergeCell ref="B101:B144"/>
    <mergeCell ref="B146:B189"/>
    <mergeCell ref="B191:B234"/>
    <mergeCell ref="C40:C46"/>
    <mergeCell ref="C47:C54"/>
    <mergeCell ref="B56:B99"/>
    <mergeCell ref="C57:C63"/>
    <mergeCell ref="C64:C70"/>
    <mergeCell ref="C71:C78"/>
    <mergeCell ref="C137:C144"/>
    <mergeCell ref="C116:C123"/>
    <mergeCell ref="C199:C205"/>
    <mergeCell ref="C206:C213"/>
    <mergeCell ref="C214:C219"/>
    <mergeCell ref="C220:C226"/>
    <mergeCell ref="C85:C91"/>
    <mergeCell ref="C92:C99"/>
    <mergeCell ref="C79:C84"/>
    <mergeCell ref="C102:C108"/>
    <mergeCell ref="C109:C115"/>
    <mergeCell ref="C26:C33"/>
    <mergeCell ref="C34:C39"/>
    <mergeCell ref="B1:J1"/>
    <mergeCell ref="D3:H3"/>
    <mergeCell ref="D4:H4"/>
    <mergeCell ref="C7:D8"/>
    <mergeCell ref="B11:B54"/>
    <mergeCell ref="C12:C18"/>
    <mergeCell ref="C19:C25"/>
    <mergeCell ref="C362:C369"/>
    <mergeCell ref="B281:B324"/>
    <mergeCell ref="B326:B369"/>
    <mergeCell ref="C182:C189"/>
    <mergeCell ref="C192:C198"/>
    <mergeCell ref="B236:B279"/>
    <mergeCell ref="C237:C243"/>
    <mergeCell ref="C244:C250"/>
    <mergeCell ref="C251:C258"/>
    <mergeCell ref="C317:C324"/>
    <mergeCell ref="C227:C234"/>
    <mergeCell ref="C327:C333"/>
    <mergeCell ref="C334:C340"/>
    <mergeCell ref="C341:C348"/>
    <mergeCell ref="C349:C354"/>
    <mergeCell ref="C355:C361"/>
    <mergeCell ref="C282:C288"/>
    <mergeCell ref="C289:C295"/>
    <mergeCell ref="C296:C303"/>
    <mergeCell ref="C304:C309"/>
    <mergeCell ref="C310:C316"/>
    <mergeCell ref="C169:C174"/>
    <mergeCell ref="C175:C181"/>
    <mergeCell ref="C265:C271"/>
    <mergeCell ref="C272:C279"/>
    <mergeCell ref="C259:C264"/>
    <mergeCell ref="C124:C129"/>
    <mergeCell ref="C130:C136"/>
    <mergeCell ref="C147:C153"/>
    <mergeCell ref="C154:C160"/>
    <mergeCell ref="C161:C168"/>
  </mergeCells>
  <conditionalFormatting sqref="D12:J54">
    <cfRule type="expression" dxfId="19" priority="1">
      <formula>MOD(ROW(),2)=0</formula>
    </cfRule>
  </conditionalFormatting>
  <conditionalFormatting sqref="D12:J54">
    <cfRule type="expression" dxfId="18" priority="2">
      <formula>MOD(ROW(),2)=1</formula>
    </cfRule>
  </conditionalFormatting>
  <conditionalFormatting sqref="D57:J99">
    <cfRule type="expression" dxfId="17" priority="3">
      <formula>MOD(ROW(),2)=1</formula>
    </cfRule>
  </conditionalFormatting>
  <conditionalFormatting sqref="D57:J99">
    <cfRule type="expression" dxfId="16" priority="4">
      <formula>MOD(ROW(),2)=0</formula>
    </cfRule>
  </conditionalFormatting>
  <conditionalFormatting sqref="D102:J144">
    <cfRule type="expression" dxfId="15" priority="5">
      <formula>MOD(ROW(),2)=0</formula>
    </cfRule>
  </conditionalFormatting>
  <conditionalFormatting sqref="D102:J144">
    <cfRule type="expression" dxfId="14" priority="6">
      <formula>MOD(ROW(),2)=1</formula>
    </cfRule>
  </conditionalFormatting>
  <conditionalFormatting sqref="D147:J189">
    <cfRule type="expression" dxfId="13" priority="7">
      <formula>MOD(ROW(),2)=0</formula>
    </cfRule>
  </conditionalFormatting>
  <conditionalFormatting sqref="D147:J189">
    <cfRule type="expression" dxfId="12" priority="8">
      <formula>MOD(ROW(),2)=1</formula>
    </cfRule>
  </conditionalFormatting>
  <conditionalFormatting sqref="D192:J234">
    <cfRule type="expression" dxfId="11" priority="9">
      <formula>MOD(ROW(),2)=0</formula>
    </cfRule>
  </conditionalFormatting>
  <conditionalFormatting sqref="D192:J234">
    <cfRule type="expression" dxfId="10" priority="10">
      <formula>MOD(ROW(),2)=1</formula>
    </cfRule>
  </conditionalFormatting>
  <conditionalFormatting sqref="D237:J279">
    <cfRule type="expression" dxfId="9" priority="11">
      <formula>MOD(ROW(),2)=0</formula>
    </cfRule>
  </conditionalFormatting>
  <conditionalFormatting sqref="D237:J279">
    <cfRule type="expression" dxfId="8" priority="12">
      <formula>MOD(ROW(),2)=1</formula>
    </cfRule>
  </conditionalFormatting>
  <conditionalFormatting sqref="D282:J324">
    <cfRule type="expression" dxfId="7" priority="13">
      <formula>MOD(ROW(),2)=0</formula>
    </cfRule>
  </conditionalFormatting>
  <conditionalFormatting sqref="D282:J324">
    <cfRule type="expression" dxfId="6" priority="14">
      <formula>MOD(ROW(),2)=1</formula>
    </cfRule>
  </conditionalFormatting>
  <conditionalFormatting sqref="D327:J369">
    <cfRule type="expression" dxfId="5" priority="15">
      <formula>MOD(ROW(),2)=1</formula>
    </cfRule>
  </conditionalFormatting>
  <conditionalFormatting sqref="D327:J369">
    <cfRule type="expression" dxfId="4" priority="16">
      <formula>MOD(ROW(),2)=0</formula>
    </cfRule>
  </conditionalFormatting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377"/>
  <sheetViews>
    <sheetView tabSelected="1" zoomScale="50" workbookViewId="0">
      <selection activeCell="X14" sqref="X14"/>
    </sheetView>
  </sheetViews>
  <sheetFormatPr baseColWidth="10" defaultColWidth="12.6640625" defaultRowHeight="14" x14ac:dyDescent="0.15"/>
  <cols>
    <col min="1" max="2" width="7.6640625" customWidth="1"/>
    <col min="3" max="3" width="23.5" customWidth="1"/>
    <col min="4" max="4" width="54.1640625" customWidth="1"/>
    <col min="5" max="6" width="20" customWidth="1"/>
    <col min="7" max="7" width="18.1640625" customWidth="1"/>
    <col min="8" max="8" width="20.1640625" customWidth="1"/>
    <col min="9" max="9" width="15.83203125" customWidth="1"/>
    <col min="10" max="10" width="84.6640625" customWidth="1"/>
    <col min="11" max="27" width="7.6640625" customWidth="1"/>
  </cols>
  <sheetData>
    <row r="1" spans="2:10" x14ac:dyDescent="0.15">
      <c r="B1" s="53" t="s">
        <v>0</v>
      </c>
      <c r="C1" s="54"/>
      <c r="D1" s="54"/>
      <c r="E1" s="54"/>
      <c r="F1" s="54"/>
      <c r="G1" s="54"/>
      <c r="H1" s="54"/>
      <c r="I1" s="54"/>
      <c r="J1" s="55"/>
    </row>
    <row r="2" spans="2:10" ht="19" x14ac:dyDescent="0.15">
      <c r="B2" s="1"/>
      <c r="C2" s="2"/>
      <c r="D2" s="3"/>
      <c r="E2" s="3"/>
      <c r="F2" s="3"/>
      <c r="G2" s="3"/>
      <c r="H2" s="3"/>
      <c r="I2" s="3"/>
      <c r="J2" s="4" t="s">
        <v>1</v>
      </c>
    </row>
    <row r="3" spans="2:10" x14ac:dyDescent="0.15">
      <c r="B3" s="1"/>
      <c r="C3" s="2"/>
      <c r="D3" s="56" t="s">
        <v>127</v>
      </c>
      <c r="E3" s="57"/>
      <c r="F3" s="57"/>
      <c r="G3" s="57"/>
      <c r="H3" s="58"/>
      <c r="I3" s="3"/>
      <c r="J3" s="2"/>
    </row>
    <row r="4" spans="2:10" ht="37" x14ac:dyDescent="0.15">
      <c r="B4" s="1"/>
      <c r="C4" s="2"/>
      <c r="D4" s="59" t="s">
        <v>128</v>
      </c>
      <c r="E4" s="60"/>
      <c r="F4" s="60"/>
      <c r="G4" s="60"/>
      <c r="H4" s="61"/>
      <c r="I4" s="3"/>
      <c r="J4" s="5"/>
    </row>
    <row r="5" spans="2:10" x14ac:dyDescent="0.15">
      <c r="B5" s="6"/>
      <c r="C5" s="2"/>
      <c r="D5" s="7"/>
      <c r="E5" s="7"/>
      <c r="F5" s="7"/>
      <c r="G5" s="3"/>
      <c r="H5" s="7"/>
      <c r="I5" s="7"/>
      <c r="J5" s="8"/>
    </row>
    <row r="6" spans="2:10" x14ac:dyDescent="0.15">
      <c r="B6" s="1"/>
      <c r="C6" s="2"/>
      <c r="D6" s="40"/>
      <c r="E6" s="3"/>
      <c r="F6" s="3"/>
      <c r="G6" s="3"/>
      <c r="H6" s="3"/>
      <c r="I6" s="3"/>
      <c r="J6" s="2"/>
    </row>
    <row r="7" spans="2:10" ht="26" x14ac:dyDescent="0.15">
      <c r="B7" s="6"/>
      <c r="C7" s="62" t="s">
        <v>129</v>
      </c>
      <c r="D7" s="63"/>
      <c r="E7" s="9" t="s">
        <v>4</v>
      </c>
      <c r="F7" s="9" t="s">
        <v>5</v>
      </c>
      <c r="G7" s="9" t="s">
        <v>6</v>
      </c>
      <c r="H7" s="9" t="s">
        <v>7</v>
      </c>
      <c r="I7" s="10"/>
      <c r="J7" s="8"/>
    </row>
    <row r="8" spans="2:10" ht="26" x14ac:dyDescent="0.15">
      <c r="B8" s="6"/>
      <c r="C8" s="64"/>
      <c r="D8" s="65"/>
      <c r="E8" s="11">
        <v>355</v>
      </c>
      <c r="F8" s="11">
        <v>265</v>
      </c>
      <c r="G8" s="11">
        <v>455</v>
      </c>
      <c r="H8" s="11">
        <v>165</v>
      </c>
      <c r="I8" s="7"/>
      <c r="J8" s="8"/>
    </row>
    <row r="9" spans="2:10" ht="26" x14ac:dyDescent="0.3">
      <c r="B9" s="12"/>
      <c r="C9" s="13"/>
      <c r="D9" s="12"/>
      <c r="E9" s="12"/>
      <c r="F9" s="12"/>
      <c r="G9" s="12"/>
      <c r="H9" s="12"/>
      <c r="I9" s="12"/>
      <c r="J9" s="14"/>
    </row>
    <row r="10" spans="2:10" ht="26" x14ac:dyDescent="0.3">
      <c r="B10" s="12"/>
      <c r="C10" s="13"/>
      <c r="D10" s="12"/>
      <c r="E10" s="12"/>
      <c r="F10" s="12"/>
      <c r="G10" s="12"/>
      <c r="H10" s="12"/>
      <c r="I10" s="12"/>
      <c r="J10" s="14"/>
    </row>
    <row r="11" spans="2:10" ht="22" x14ac:dyDescent="0.15">
      <c r="B11" s="66" t="s">
        <v>8</v>
      </c>
      <c r="C11" s="15" t="s">
        <v>9</v>
      </c>
      <c r="D11" s="16" t="s">
        <v>10</v>
      </c>
      <c r="E11" s="16" t="s">
        <v>11</v>
      </c>
      <c r="F11" s="17" t="s">
        <v>12</v>
      </c>
      <c r="G11" s="16" t="str">
        <f>IF(D4 = "kg", "Load (kg)", "Load (lbs)")</f>
        <v>Load (lbs)</v>
      </c>
      <c r="H11" s="17" t="s">
        <v>13</v>
      </c>
      <c r="I11" s="17" t="s">
        <v>14</v>
      </c>
      <c r="J11" s="18" t="s">
        <v>15</v>
      </c>
    </row>
    <row r="12" spans="2:10" ht="81" x14ac:dyDescent="0.15">
      <c r="B12" s="50"/>
      <c r="C12" s="44" t="s">
        <v>16</v>
      </c>
      <c r="D12" s="13" t="s">
        <v>75</v>
      </c>
      <c r="E12" s="13">
        <v>4</v>
      </c>
      <c r="F12" s="13">
        <v>3</v>
      </c>
      <c r="G12" s="19">
        <f>IF(D4="kg",MROUND(G8*0.75,2.5),MROUND(G8*0.75,5))</f>
        <v>340</v>
      </c>
      <c r="H12" s="20">
        <v>0.75</v>
      </c>
      <c r="I12" s="21" t="s">
        <v>18</v>
      </c>
      <c r="J12" s="13" t="s">
        <v>76</v>
      </c>
    </row>
    <row r="13" spans="2:10" ht="81" x14ac:dyDescent="0.15">
      <c r="B13" s="50"/>
      <c r="C13" s="45"/>
      <c r="D13" s="13" t="s">
        <v>130</v>
      </c>
      <c r="E13" s="13">
        <v>2</v>
      </c>
      <c r="F13" s="13">
        <v>6</v>
      </c>
      <c r="G13" s="19">
        <f>IF(D4="kg",MROUND(E8*0.6,2.5),MROUND(E8*0.6,5))</f>
        <v>215</v>
      </c>
      <c r="H13" s="20">
        <v>0.6</v>
      </c>
      <c r="I13" s="21" t="s">
        <v>18</v>
      </c>
      <c r="J13" s="13" t="s">
        <v>131</v>
      </c>
    </row>
    <row r="14" spans="2:10" ht="54" x14ac:dyDescent="0.15">
      <c r="B14" s="50"/>
      <c r="C14" s="45"/>
      <c r="D14" s="13" t="s">
        <v>132</v>
      </c>
      <c r="E14" s="13">
        <v>2</v>
      </c>
      <c r="F14" s="13">
        <v>20</v>
      </c>
      <c r="G14" s="19"/>
      <c r="H14" s="13">
        <v>7</v>
      </c>
      <c r="I14" s="21" t="s">
        <v>29</v>
      </c>
      <c r="J14" s="13" t="s">
        <v>133</v>
      </c>
    </row>
    <row r="15" spans="2:10" ht="27" x14ac:dyDescent="0.15">
      <c r="B15" s="50"/>
      <c r="C15" s="45"/>
      <c r="D15" s="13" t="s">
        <v>134</v>
      </c>
      <c r="E15" s="13">
        <v>2</v>
      </c>
      <c r="F15" s="13">
        <v>15</v>
      </c>
      <c r="G15" s="19"/>
      <c r="H15" s="13">
        <v>7</v>
      </c>
      <c r="I15" s="21" t="s">
        <v>29</v>
      </c>
      <c r="J15" s="13" t="s">
        <v>135</v>
      </c>
    </row>
    <row r="16" spans="2:10" ht="54" x14ac:dyDescent="0.15">
      <c r="B16" s="50"/>
      <c r="C16" s="45"/>
      <c r="D16" s="13" t="s">
        <v>136</v>
      </c>
      <c r="E16" s="13">
        <v>2</v>
      </c>
      <c r="F16" s="13">
        <v>12</v>
      </c>
      <c r="G16" s="19"/>
      <c r="H16" s="13">
        <v>6</v>
      </c>
      <c r="I16" s="21" t="s">
        <v>29</v>
      </c>
      <c r="J16" s="13" t="s">
        <v>137</v>
      </c>
    </row>
    <row r="17" spans="2:10" ht="54" x14ac:dyDescent="0.15">
      <c r="B17" s="50"/>
      <c r="C17" s="45"/>
      <c r="D17" s="13" t="s">
        <v>138</v>
      </c>
      <c r="E17" s="13">
        <v>2</v>
      </c>
      <c r="F17" s="13">
        <v>12</v>
      </c>
      <c r="G17" s="19"/>
      <c r="H17" s="13">
        <v>6</v>
      </c>
      <c r="I17" s="21" t="s">
        <v>29</v>
      </c>
      <c r="J17" s="13" t="s">
        <v>137</v>
      </c>
    </row>
    <row r="18" spans="2:10" ht="54" x14ac:dyDescent="0.15">
      <c r="B18" s="50"/>
      <c r="C18" s="45"/>
      <c r="D18" s="13" t="s">
        <v>139</v>
      </c>
      <c r="E18" s="13">
        <v>2</v>
      </c>
      <c r="F18" s="13">
        <v>15</v>
      </c>
      <c r="G18" s="19"/>
      <c r="H18" s="13">
        <v>8</v>
      </c>
      <c r="I18" s="21" t="s">
        <v>29</v>
      </c>
      <c r="J18" s="13" t="s">
        <v>140</v>
      </c>
    </row>
    <row r="19" spans="2:10" ht="81" x14ac:dyDescent="0.15">
      <c r="B19" s="50"/>
      <c r="C19" s="46"/>
      <c r="D19" s="13" t="s">
        <v>141</v>
      </c>
      <c r="E19" s="13">
        <v>2</v>
      </c>
      <c r="F19" s="13">
        <v>8</v>
      </c>
      <c r="G19" s="19"/>
      <c r="H19" s="13">
        <v>6</v>
      </c>
      <c r="I19" s="21" t="s">
        <v>29</v>
      </c>
      <c r="J19" s="13" t="s">
        <v>142</v>
      </c>
    </row>
    <row r="20" spans="2:10" ht="54" x14ac:dyDescent="0.15">
      <c r="B20" s="50"/>
      <c r="C20" s="41" t="s">
        <v>38</v>
      </c>
      <c r="D20" s="24" t="s">
        <v>39</v>
      </c>
      <c r="E20" s="24">
        <v>2</v>
      </c>
      <c r="F20" s="24">
        <v>8</v>
      </c>
      <c r="G20" s="25">
        <f>IF(D4="kg",MROUND(F8*0.75,2.5),MROUND(F8*0.75,5))</f>
        <v>200</v>
      </c>
      <c r="H20" s="26">
        <v>0.75</v>
      </c>
      <c r="I20" s="27" t="s">
        <v>25</v>
      </c>
      <c r="J20" s="24" t="s">
        <v>40</v>
      </c>
    </row>
    <row r="21" spans="2:10" ht="54" x14ac:dyDescent="0.15">
      <c r="B21" s="50"/>
      <c r="C21" s="42"/>
      <c r="D21" s="13" t="s">
        <v>143</v>
      </c>
      <c r="E21" s="13">
        <v>2</v>
      </c>
      <c r="F21" s="13">
        <v>12</v>
      </c>
      <c r="G21" s="19"/>
      <c r="H21" s="13">
        <v>7</v>
      </c>
      <c r="I21" s="21" t="s">
        <v>29</v>
      </c>
      <c r="J21" s="13" t="s">
        <v>144</v>
      </c>
    </row>
    <row r="22" spans="2:10" ht="27" x14ac:dyDescent="0.15">
      <c r="B22" s="50"/>
      <c r="C22" s="42"/>
      <c r="D22" s="13" t="s">
        <v>145</v>
      </c>
      <c r="E22" s="13">
        <v>2</v>
      </c>
      <c r="F22" s="13">
        <v>15</v>
      </c>
      <c r="G22" s="19"/>
      <c r="H22" s="13">
        <v>7</v>
      </c>
      <c r="I22" s="21" t="s">
        <v>29</v>
      </c>
      <c r="J22" s="13" t="s">
        <v>90</v>
      </c>
    </row>
    <row r="23" spans="2:10" ht="108" x14ac:dyDescent="0.15">
      <c r="B23" s="50"/>
      <c r="C23" s="42"/>
      <c r="D23" s="13" t="s">
        <v>46</v>
      </c>
      <c r="E23" s="13">
        <v>2</v>
      </c>
      <c r="F23" s="22" t="s">
        <v>57</v>
      </c>
      <c r="G23" s="19"/>
      <c r="H23" s="13">
        <v>8</v>
      </c>
      <c r="I23" s="21" t="s">
        <v>29</v>
      </c>
      <c r="J23" s="13" t="s">
        <v>48</v>
      </c>
    </row>
    <row r="24" spans="2:10" ht="81" x14ac:dyDescent="0.15">
      <c r="B24" s="50"/>
      <c r="C24" s="42"/>
      <c r="D24" s="13" t="s">
        <v>146</v>
      </c>
      <c r="E24" s="13">
        <v>2</v>
      </c>
      <c r="F24" s="13" t="s">
        <v>21</v>
      </c>
      <c r="G24" s="19"/>
      <c r="H24" s="13">
        <v>7</v>
      </c>
      <c r="I24" s="21" t="s">
        <v>29</v>
      </c>
      <c r="J24" s="13" t="s">
        <v>147</v>
      </c>
    </row>
    <row r="25" spans="2:10" ht="54" x14ac:dyDescent="0.15">
      <c r="B25" s="50"/>
      <c r="C25" s="42"/>
      <c r="D25" s="13" t="s">
        <v>148</v>
      </c>
      <c r="E25" s="13">
        <v>2</v>
      </c>
      <c r="F25" s="13" t="s">
        <v>47</v>
      </c>
      <c r="G25" s="19"/>
      <c r="H25" s="13">
        <v>8</v>
      </c>
      <c r="I25" s="21" t="s">
        <v>29</v>
      </c>
      <c r="J25" s="13" t="s">
        <v>149</v>
      </c>
    </row>
    <row r="26" spans="2:10" ht="54" x14ac:dyDescent="0.15">
      <c r="B26" s="50"/>
      <c r="C26" s="42"/>
      <c r="D26" s="13" t="s">
        <v>150</v>
      </c>
      <c r="E26" s="13">
        <v>2</v>
      </c>
      <c r="F26" s="13" t="s">
        <v>47</v>
      </c>
      <c r="G26" s="19"/>
      <c r="H26" s="13">
        <v>7</v>
      </c>
      <c r="I26" s="21" t="s">
        <v>29</v>
      </c>
      <c r="J26" s="13" t="s">
        <v>151</v>
      </c>
    </row>
    <row r="27" spans="2:10" ht="27" x14ac:dyDescent="0.15">
      <c r="B27" s="50"/>
      <c r="C27" s="43"/>
      <c r="D27" s="28" t="s">
        <v>152</v>
      </c>
      <c r="E27" s="28">
        <v>3</v>
      </c>
      <c r="F27" s="28">
        <v>6</v>
      </c>
      <c r="G27" s="29"/>
      <c r="H27" s="28">
        <v>6</v>
      </c>
      <c r="I27" s="30" t="s">
        <v>29</v>
      </c>
      <c r="J27" s="28" t="s">
        <v>153</v>
      </c>
    </row>
    <row r="28" spans="2:10" ht="54" x14ac:dyDescent="0.15">
      <c r="B28" s="50"/>
      <c r="C28" s="44" t="s">
        <v>55</v>
      </c>
      <c r="D28" s="13" t="s">
        <v>56</v>
      </c>
      <c r="E28" s="13">
        <v>2</v>
      </c>
      <c r="F28" s="22" t="s">
        <v>57</v>
      </c>
      <c r="G28" s="19"/>
      <c r="H28" s="13">
        <v>5</v>
      </c>
      <c r="I28" s="21" t="s">
        <v>29</v>
      </c>
      <c r="J28" s="13" t="s">
        <v>58</v>
      </c>
    </row>
    <row r="29" spans="2:10" ht="27" x14ac:dyDescent="0.15">
      <c r="B29" s="50"/>
      <c r="C29" s="45"/>
      <c r="D29" s="13" t="s">
        <v>59</v>
      </c>
      <c r="E29" s="13">
        <v>3</v>
      </c>
      <c r="F29" s="13">
        <v>12</v>
      </c>
      <c r="G29" s="19"/>
      <c r="H29" s="13">
        <v>7</v>
      </c>
      <c r="I29" s="21" t="s">
        <v>25</v>
      </c>
      <c r="J29" s="13" t="s">
        <v>154</v>
      </c>
    </row>
    <row r="30" spans="2:10" ht="54" x14ac:dyDescent="0.15">
      <c r="B30" s="50"/>
      <c r="C30" s="45"/>
      <c r="D30" s="13" t="s">
        <v>155</v>
      </c>
      <c r="E30" s="13">
        <v>2</v>
      </c>
      <c r="F30" s="22" t="s">
        <v>60</v>
      </c>
      <c r="G30" s="19"/>
      <c r="H30" s="13">
        <v>7</v>
      </c>
      <c r="I30" s="21" t="s">
        <v>29</v>
      </c>
      <c r="J30" s="13" t="s">
        <v>156</v>
      </c>
    </row>
    <row r="31" spans="2:10" ht="54" x14ac:dyDescent="0.15">
      <c r="B31" s="50"/>
      <c r="C31" s="45"/>
      <c r="D31" s="13" t="s">
        <v>157</v>
      </c>
      <c r="E31" s="13">
        <v>2</v>
      </c>
      <c r="F31" s="22" t="s">
        <v>24</v>
      </c>
      <c r="G31" s="19"/>
      <c r="H31" s="13">
        <v>7</v>
      </c>
      <c r="I31" s="21" t="s">
        <v>29</v>
      </c>
      <c r="J31" s="13" t="s">
        <v>158</v>
      </c>
    </row>
    <row r="32" spans="2:10" ht="54" x14ac:dyDescent="0.15">
      <c r="B32" s="50"/>
      <c r="C32" s="45"/>
      <c r="D32" s="13" t="s">
        <v>115</v>
      </c>
      <c r="E32" s="13">
        <v>2</v>
      </c>
      <c r="F32" s="13" t="s">
        <v>47</v>
      </c>
      <c r="G32" s="19"/>
      <c r="H32" s="13">
        <v>8</v>
      </c>
      <c r="I32" s="21" t="s">
        <v>29</v>
      </c>
      <c r="J32" s="13" t="s">
        <v>159</v>
      </c>
    </row>
    <row r="33" spans="2:10" ht="27" x14ac:dyDescent="0.15">
      <c r="B33" s="50"/>
      <c r="C33" s="45"/>
      <c r="D33" s="13" t="s">
        <v>160</v>
      </c>
      <c r="E33" s="13">
        <v>2</v>
      </c>
      <c r="F33" s="13">
        <v>20</v>
      </c>
      <c r="G33" s="19"/>
      <c r="H33" s="13">
        <v>8</v>
      </c>
      <c r="I33" s="21" t="s">
        <v>29</v>
      </c>
      <c r="J33" s="13" t="s">
        <v>161</v>
      </c>
    </row>
    <row r="34" spans="2:10" ht="54" x14ac:dyDescent="0.15">
      <c r="B34" s="50"/>
      <c r="C34" s="45"/>
      <c r="D34" s="13" t="s">
        <v>162</v>
      </c>
      <c r="E34" s="13">
        <v>2</v>
      </c>
      <c r="F34" s="13" t="s">
        <v>47</v>
      </c>
      <c r="G34" s="19"/>
      <c r="H34" s="13">
        <v>8</v>
      </c>
      <c r="I34" s="21" t="s">
        <v>29</v>
      </c>
      <c r="J34" s="13" t="s">
        <v>163</v>
      </c>
    </row>
    <row r="35" spans="2:10" ht="54" x14ac:dyDescent="0.15">
      <c r="B35" s="50"/>
      <c r="C35" s="46"/>
      <c r="D35" s="13" t="s">
        <v>164</v>
      </c>
      <c r="E35" s="13">
        <v>3</v>
      </c>
      <c r="F35" s="13" t="s">
        <v>57</v>
      </c>
      <c r="G35" s="19"/>
      <c r="H35" s="13">
        <v>8</v>
      </c>
      <c r="I35" s="21" t="s">
        <v>29</v>
      </c>
      <c r="J35" s="13" t="s">
        <v>165</v>
      </c>
    </row>
    <row r="36" spans="2:10" ht="54" x14ac:dyDescent="0.15">
      <c r="B36" s="50"/>
      <c r="C36" s="41" t="s">
        <v>74</v>
      </c>
      <c r="D36" s="24" t="s">
        <v>17</v>
      </c>
      <c r="E36" s="24">
        <v>3</v>
      </c>
      <c r="F36" s="24">
        <v>4</v>
      </c>
      <c r="G36" s="25">
        <f>IF(D4="kg",MROUND(E8*0.75,2.5),MROUND(E8*0.75,5))</f>
        <v>265</v>
      </c>
      <c r="H36" s="26">
        <v>0.75</v>
      </c>
      <c r="I36" s="27" t="s">
        <v>18</v>
      </c>
      <c r="J36" s="24" t="s">
        <v>19</v>
      </c>
    </row>
    <row r="37" spans="2:10" ht="54" x14ac:dyDescent="0.15">
      <c r="B37" s="50"/>
      <c r="C37" s="42"/>
      <c r="D37" s="13" t="s">
        <v>20</v>
      </c>
      <c r="E37" s="13">
        <v>3</v>
      </c>
      <c r="F37" s="22" t="s">
        <v>24</v>
      </c>
      <c r="G37" s="19"/>
      <c r="H37" s="22">
        <v>7</v>
      </c>
      <c r="I37" s="21" t="s">
        <v>25</v>
      </c>
      <c r="J37" s="13" t="s">
        <v>22</v>
      </c>
    </row>
    <row r="38" spans="2:10" ht="54" x14ac:dyDescent="0.15">
      <c r="B38" s="50"/>
      <c r="C38" s="42"/>
      <c r="D38" s="13" t="s">
        <v>166</v>
      </c>
      <c r="E38" s="13">
        <v>2</v>
      </c>
      <c r="F38" s="13">
        <v>10</v>
      </c>
      <c r="G38" s="19"/>
      <c r="H38" s="13">
        <v>7</v>
      </c>
      <c r="I38" s="21" t="s">
        <v>25</v>
      </c>
      <c r="J38" s="13" t="s">
        <v>167</v>
      </c>
    </row>
    <row r="39" spans="2:10" ht="54" x14ac:dyDescent="0.15">
      <c r="B39" s="50"/>
      <c r="C39" s="42"/>
      <c r="D39" s="13" t="s">
        <v>168</v>
      </c>
      <c r="E39" s="13">
        <v>2</v>
      </c>
      <c r="F39" s="13">
        <v>12</v>
      </c>
      <c r="G39" s="19"/>
      <c r="H39" s="13">
        <v>6</v>
      </c>
      <c r="I39" s="21" t="s">
        <v>29</v>
      </c>
      <c r="J39" s="13" t="s">
        <v>169</v>
      </c>
    </row>
    <row r="40" spans="2:10" ht="54" x14ac:dyDescent="0.15">
      <c r="B40" s="50"/>
      <c r="C40" s="42"/>
      <c r="D40" s="13" t="s">
        <v>170</v>
      </c>
      <c r="E40" s="13">
        <v>2</v>
      </c>
      <c r="F40" s="13">
        <v>15</v>
      </c>
      <c r="G40" s="19"/>
      <c r="H40" s="13">
        <v>8</v>
      </c>
      <c r="I40" s="21" t="s">
        <v>29</v>
      </c>
      <c r="J40" s="13" t="s">
        <v>35</v>
      </c>
    </row>
    <row r="41" spans="2:10" ht="54" x14ac:dyDescent="0.15">
      <c r="B41" s="50"/>
      <c r="C41" s="42"/>
      <c r="D41" s="13" t="s">
        <v>171</v>
      </c>
      <c r="E41" s="13">
        <v>2</v>
      </c>
      <c r="F41" s="13">
        <v>20</v>
      </c>
      <c r="G41" s="19"/>
      <c r="H41" s="13">
        <v>8</v>
      </c>
      <c r="I41" s="21" t="s">
        <v>29</v>
      </c>
      <c r="J41" s="13" t="s">
        <v>172</v>
      </c>
    </row>
    <row r="42" spans="2:10" ht="54" x14ac:dyDescent="0.15">
      <c r="B42" s="50"/>
      <c r="C42" s="43"/>
      <c r="D42" s="28" t="s">
        <v>36</v>
      </c>
      <c r="E42" s="28">
        <v>3</v>
      </c>
      <c r="F42" s="28">
        <v>12</v>
      </c>
      <c r="G42" s="29"/>
      <c r="H42" s="28">
        <v>7</v>
      </c>
      <c r="I42" s="30" t="s">
        <v>29</v>
      </c>
      <c r="J42" s="28" t="s">
        <v>173</v>
      </c>
    </row>
    <row r="43" spans="2:10" ht="54" x14ac:dyDescent="0.15">
      <c r="B43" s="50"/>
      <c r="C43" s="44" t="s">
        <v>87</v>
      </c>
      <c r="D43" s="13" t="s">
        <v>39</v>
      </c>
      <c r="E43" s="13">
        <v>3</v>
      </c>
      <c r="F43" s="13">
        <v>4</v>
      </c>
      <c r="G43" s="19">
        <f>IF(D4="kg",MROUND(F8*0.75,2.5),MROUND(F8*0.75,5))</f>
        <v>200</v>
      </c>
      <c r="H43" s="20">
        <v>0.75</v>
      </c>
      <c r="I43" s="21" t="s">
        <v>25</v>
      </c>
      <c r="J43" s="13" t="s">
        <v>174</v>
      </c>
    </row>
    <row r="44" spans="2:10" ht="54" x14ac:dyDescent="0.15">
      <c r="B44" s="50"/>
      <c r="C44" s="45"/>
      <c r="D44" s="13" t="s">
        <v>175</v>
      </c>
      <c r="E44" s="13">
        <v>3</v>
      </c>
      <c r="F44" s="13" t="s">
        <v>176</v>
      </c>
      <c r="G44" s="19">
        <f>IF(D4="kg",MROUND(H8*0.725,2.5),MROUND(H8*0.725,5))</f>
        <v>120</v>
      </c>
      <c r="H44" s="36">
        <v>0.72499999999999998</v>
      </c>
      <c r="I44" s="21" t="s">
        <v>25</v>
      </c>
      <c r="J44" s="13" t="s">
        <v>177</v>
      </c>
    </row>
    <row r="45" spans="2:10" ht="54" x14ac:dyDescent="0.15">
      <c r="B45" s="50"/>
      <c r="C45" s="45"/>
      <c r="D45" s="13" t="s">
        <v>178</v>
      </c>
      <c r="E45" s="13">
        <v>2</v>
      </c>
      <c r="F45" s="22" t="s">
        <v>179</v>
      </c>
      <c r="G45" s="19"/>
      <c r="H45" s="13">
        <v>6</v>
      </c>
      <c r="I45" s="21" t="s">
        <v>29</v>
      </c>
      <c r="J45" s="13" t="s">
        <v>180</v>
      </c>
    </row>
    <row r="46" spans="2:10" ht="54" x14ac:dyDescent="0.15">
      <c r="B46" s="50"/>
      <c r="C46" s="45"/>
      <c r="D46" s="13" t="s">
        <v>181</v>
      </c>
      <c r="E46" s="13">
        <v>3</v>
      </c>
      <c r="F46" s="13" t="s">
        <v>47</v>
      </c>
      <c r="G46" s="19"/>
      <c r="H46" s="13">
        <v>7</v>
      </c>
      <c r="I46" s="21" t="s">
        <v>29</v>
      </c>
      <c r="J46" s="13" t="s">
        <v>182</v>
      </c>
    </row>
    <row r="47" spans="2:10" ht="54" x14ac:dyDescent="0.15">
      <c r="B47" s="50"/>
      <c r="C47" s="45"/>
      <c r="D47" s="13" t="s">
        <v>183</v>
      </c>
      <c r="E47" s="13">
        <v>3</v>
      </c>
      <c r="F47" s="13" t="s">
        <v>57</v>
      </c>
      <c r="G47" s="19"/>
      <c r="H47" s="13">
        <v>8</v>
      </c>
      <c r="I47" s="21" t="s">
        <v>29</v>
      </c>
      <c r="J47" s="13" t="s">
        <v>98</v>
      </c>
    </row>
    <row r="48" spans="2:10" ht="54" x14ac:dyDescent="0.15">
      <c r="B48" s="50"/>
      <c r="C48" s="46"/>
      <c r="D48" s="13" t="s">
        <v>184</v>
      </c>
      <c r="E48" s="13">
        <v>3</v>
      </c>
      <c r="F48" s="13" t="s">
        <v>185</v>
      </c>
      <c r="G48" s="19"/>
      <c r="H48" s="13">
        <v>7</v>
      </c>
      <c r="I48" s="21" t="s">
        <v>29</v>
      </c>
      <c r="J48" s="13" t="s">
        <v>186</v>
      </c>
    </row>
    <row r="49" spans="2:10" ht="54" x14ac:dyDescent="0.15">
      <c r="B49" s="50"/>
      <c r="C49" s="41" t="s">
        <v>103</v>
      </c>
      <c r="D49" s="24" t="s">
        <v>187</v>
      </c>
      <c r="E49" s="24">
        <v>3</v>
      </c>
      <c r="F49" s="24">
        <v>12</v>
      </c>
      <c r="G49" s="25"/>
      <c r="H49" s="24">
        <v>7</v>
      </c>
      <c r="I49" s="27" t="s">
        <v>25</v>
      </c>
      <c r="J49" s="24" t="s">
        <v>188</v>
      </c>
    </row>
    <row r="50" spans="2:10" ht="54" x14ac:dyDescent="0.15">
      <c r="B50" s="50"/>
      <c r="C50" s="42"/>
      <c r="D50" s="13" t="s">
        <v>189</v>
      </c>
      <c r="E50" s="13">
        <v>3</v>
      </c>
      <c r="F50" s="13" t="s">
        <v>21</v>
      </c>
      <c r="G50" s="19"/>
      <c r="H50" s="13">
        <v>7</v>
      </c>
      <c r="I50" s="21" t="s">
        <v>25</v>
      </c>
      <c r="J50" s="13" t="s">
        <v>190</v>
      </c>
    </row>
    <row r="51" spans="2:10" ht="54" x14ac:dyDescent="0.15">
      <c r="B51" s="50"/>
      <c r="C51" s="42"/>
      <c r="D51" s="13" t="s">
        <v>110</v>
      </c>
      <c r="E51" s="13">
        <v>3</v>
      </c>
      <c r="F51" s="13" t="s">
        <v>57</v>
      </c>
      <c r="G51" s="19"/>
      <c r="H51" s="13">
        <v>8</v>
      </c>
      <c r="I51" s="21" t="s">
        <v>29</v>
      </c>
      <c r="J51" s="13" t="s">
        <v>111</v>
      </c>
    </row>
    <row r="52" spans="2:10" ht="54" x14ac:dyDescent="0.15">
      <c r="B52" s="50"/>
      <c r="C52" s="42"/>
      <c r="D52" s="13" t="s">
        <v>191</v>
      </c>
      <c r="E52" s="13">
        <v>3</v>
      </c>
      <c r="F52" s="13">
        <v>15</v>
      </c>
      <c r="G52" s="19"/>
      <c r="H52" s="13">
        <v>7</v>
      </c>
      <c r="I52" s="21" t="s">
        <v>29</v>
      </c>
      <c r="J52" s="13" t="s">
        <v>192</v>
      </c>
    </row>
    <row r="53" spans="2:10" ht="54" x14ac:dyDescent="0.15">
      <c r="B53" s="50"/>
      <c r="C53" s="42"/>
      <c r="D53" s="13" t="s">
        <v>193</v>
      </c>
      <c r="E53" s="13">
        <v>3</v>
      </c>
      <c r="F53" s="13">
        <v>8</v>
      </c>
      <c r="G53" s="19"/>
      <c r="H53" s="13">
        <v>9</v>
      </c>
      <c r="I53" s="21" t="s">
        <v>32</v>
      </c>
      <c r="J53" s="13" t="s">
        <v>194</v>
      </c>
    </row>
    <row r="54" spans="2:10" ht="54" x14ac:dyDescent="0.15">
      <c r="B54" s="50"/>
      <c r="C54" s="42"/>
      <c r="D54" s="13" t="s">
        <v>195</v>
      </c>
      <c r="E54" s="13">
        <v>3</v>
      </c>
      <c r="F54" s="13">
        <v>8</v>
      </c>
      <c r="G54" s="19"/>
      <c r="H54" s="13">
        <v>9</v>
      </c>
      <c r="I54" s="21" t="s">
        <v>32</v>
      </c>
      <c r="J54" s="13" t="s">
        <v>194</v>
      </c>
    </row>
    <row r="55" spans="2:10" ht="54" x14ac:dyDescent="0.15">
      <c r="B55" s="51"/>
      <c r="C55" s="43"/>
      <c r="D55" s="28" t="s">
        <v>196</v>
      </c>
      <c r="E55" s="28">
        <v>3</v>
      </c>
      <c r="F55" s="28">
        <v>8</v>
      </c>
      <c r="G55" s="29"/>
      <c r="H55" s="28">
        <v>9</v>
      </c>
      <c r="I55" s="30" t="s">
        <v>29</v>
      </c>
      <c r="J55" s="28" t="s">
        <v>197</v>
      </c>
    </row>
    <row r="56" spans="2:10" ht="26" x14ac:dyDescent="0.2">
      <c r="C56" s="33"/>
      <c r="D56" s="13"/>
      <c r="E56" s="34"/>
      <c r="F56" s="35"/>
    </row>
    <row r="57" spans="2:10" ht="22" x14ac:dyDescent="0.15">
      <c r="B57" s="67" t="s">
        <v>120</v>
      </c>
      <c r="C57" s="15" t="s">
        <v>9</v>
      </c>
      <c r="D57" s="16" t="s">
        <v>10</v>
      </c>
      <c r="E57" s="16" t="s">
        <v>11</v>
      </c>
      <c r="F57" s="17" t="s">
        <v>12</v>
      </c>
      <c r="G57" s="16" t="str">
        <f>IF(D4 = "kg", "Load (kg)", "Load (lbs)")</f>
        <v>Load (lbs)</v>
      </c>
      <c r="H57" s="17" t="s">
        <v>13</v>
      </c>
      <c r="I57" s="17" t="s">
        <v>14</v>
      </c>
      <c r="J57" s="18" t="s">
        <v>15</v>
      </c>
    </row>
    <row r="58" spans="2:10" ht="81" x14ac:dyDescent="0.15">
      <c r="B58" s="50"/>
      <c r="C58" s="44" t="s">
        <v>16</v>
      </c>
      <c r="D58" s="13" t="s">
        <v>75</v>
      </c>
      <c r="E58" s="13">
        <v>5</v>
      </c>
      <c r="F58" s="13">
        <v>3</v>
      </c>
      <c r="G58" s="13">
        <f>IF(D4="kg",MROUND(G8*0.8,2.5),MROUND(G8*0.8,5))</f>
        <v>365</v>
      </c>
      <c r="H58" s="20">
        <v>0.8</v>
      </c>
      <c r="I58" s="21" t="s">
        <v>18</v>
      </c>
      <c r="J58" s="13" t="s">
        <v>76</v>
      </c>
    </row>
    <row r="59" spans="2:10" ht="81" x14ac:dyDescent="0.15">
      <c r="B59" s="50"/>
      <c r="C59" s="45"/>
      <c r="D59" s="13" t="s">
        <v>130</v>
      </c>
      <c r="E59" s="13">
        <v>2</v>
      </c>
      <c r="F59" s="13">
        <v>6</v>
      </c>
      <c r="G59" s="13">
        <f>IF(D4="kg",MROUND(E8*0.6,2.5),MROUND(E8*0.6,5))</f>
        <v>215</v>
      </c>
      <c r="H59" s="20">
        <v>0.6</v>
      </c>
      <c r="I59" s="21" t="s">
        <v>18</v>
      </c>
      <c r="J59" s="13" t="s">
        <v>131</v>
      </c>
    </row>
    <row r="60" spans="2:10" ht="54" x14ac:dyDescent="0.15">
      <c r="B60" s="50"/>
      <c r="C60" s="45"/>
      <c r="D60" s="13" t="s">
        <v>132</v>
      </c>
      <c r="E60" s="13">
        <v>2</v>
      </c>
      <c r="F60" s="13">
        <v>20</v>
      </c>
      <c r="G60" s="13"/>
      <c r="H60" s="13">
        <v>8</v>
      </c>
      <c r="I60" s="21" t="s">
        <v>29</v>
      </c>
      <c r="J60" s="13" t="s">
        <v>133</v>
      </c>
    </row>
    <row r="61" spans="2:10" ht="27" x14ac:dyDescent="0.15">
      <c r="B61" s="50"/>
      <c r="C61" s="45"/>
      <c r="D61" s="13" t="s">
        <v>134</v>
      </c>
      <c r="E61" s="13">
        <v>3</v>
      </c>
      <c r="F61" s="13">
        <v>15</v>
      </c>
      <c r="G61" s="13"/>
      <c r="H61" s="13">
        <v>9</v>
      </c>
      <c r="I61" s="21" t="s">
        <v>29</v>
      </c>
      <c r="J61" s="13" t="s">
        <v>135</v>
      </c>
    </row>
    <row r="62" spans="2:10" ht="54" x14ac:dyDescent="0.15">
      <c r="B62" s="50"/>
      <c r="C62" s="45"/>
      <c r="D62" s="13" t="s">
        <v>136</v>
      </c>
      <c r="E62" s="13">
        <v>3</v>
      </c>
      <c r="F62" s="13">
        <v>12</v>
      </c>
      <c r="G62" s="13"/>
      <c r="H62" s="13">
        <v>9</v>
      </c>
      <c r="I62" s="21" t="s">
        <v>29</v>
      </c>
      <c r="J62" s="13" t="s">
        <v>137</v>
      </c>
    </row>
    <row r="63" spans="2:10" ht="54" x14ac:dyDescent="0.15">
      <c r="B63" s="50"/>
      <c r="C63" s="45"/>
      <c r="D63" s="13" t="s">
        <v>138</v>
      </c>
      <c r="E63" s="13">
        <v>3</v>
      </c>
      <c r="F63" s="13">
        <v>12</v>
      </c>
      <c r="G63" s="13"/>
      <c r="H63" s="13">
        <v>9</v>
      </c>
      <c r="I63" s="21" t="s">
        <v>29</v>
      </c>
      <c r="J63" s="13" t="s">
        <v>137</v>
      </c>
    </row>
    <row r="64" spans="2:10" ht="54" x14ac:dyDescent="0.15">
      <c r="B64" s="50"/>
      <c r="C64" s="45"/>
      <c r="D64" s="13" t="s">
        <v>139</v>
      </c>
      <c r="E64" s="13">
        <v>2</v>
      </c>
      <c r="F64" s="13">
        <v>15</v>
      </c>
      <c r="G64" s="13"/>
      <c r="H64" s="13">
        <v>8</v>
      </c>
      <c r="I64" s="21" t="s">
        <v>29</v>
      </c>
      <c r="J64" s="13" t="s">
        <v>140</v>
      </c>
    </row>
    <row r="65" spans="2:10" ht="81" x14ac:dyDescent="0.15">
      <c r="B65" s="50"/>
      <c r="C65" s="46"/>
      <c r="D65" s="13" t="s">
        <v>141</v>
      </c>
      <c r="E65" s="13">
        <v>3</v>
      </c>
      <c r="F65" s="13">
        <v>8</v>
      </c>
      <c r="G65" s="13"/>
      <c r="H65" s="13">
        <v>8</v>
      </c>
      <c r="I65" s="21" t="s">
        <v>29</v>
      </c>
      <c r="J65" s="13" t="s">
        <v>142</v>
      </c>
    </row>
    <row r="66" spans="2:10" ht="54" x14ac:dyDescent="0.15">
      <c r="B66" s="50"/>
      <c r="C66" s="41" t="s">
        <v>38</v>
      </c>
      <c r="D66" s="24" t="s">
        <v>39</v>
      </c>
      <c r="E66" s="24">
        <v>2</v>
      </c>
      <c r="F66" s="24">
        <v>10</v>
      </c>
      <c r="G66" s="24">
        <f>IF(D4="kg",MROUND(F8*0.725,2.5),MROUND(F8*0.725,5))</f>
        <v>190</v>
      </c>
      <c r="H66" s="31">
        <v>0.72499999999999998</v>
      </c>
      <c r="I66" s="27" t="s">
        <v>25</v>
      </c>
      <c r="J66" s="24" t="s">
        <v>40</v>
      </c>
    </row>
    <row r="67" spans="2:10" ht="54" x14ac:dyDescent="0.15">
      <c r="B67" s="50"/>
      <c r="C67" s="42"/>
      <c r="D67" s="13" t="s">
        <v>143</v>
      </c>
      <c r="E67" s="13">
        <v>2</v>
      </c>
      <c r="F67" s="13">
        <v>12</v>
      </c>
      <c r="G67" s="13"/>
      <c r="H67" s="13">
        <v>9</v>
      </c>
      <c r="I67" s="21" t="s">
        <v>29</v>
      </c>
      <c r="J67" s="13" t="s">
        <v>144</v>
      </c>
    </row>
    <row r="68" spans="2:10" ht="27" x14ac:dyDescent="0.15">
      <c r="B68" s="50"/>
      <c r="C68" s="42"/>
      <c r="D68" s="13" t="s">
        <v>145</v>
      </c>
      <c r="E68" s="13">
        <v>2</v>
      </c>
      <c r="F68" s="13">
        <v>15</v>
      </c>
      <c r="G68" s="13"/>
      <c r="H68" s="13">
        <v>9</v>
      </c>
      <c r="I68" s="21" t="s">
        <v>29</v>
      </c>
      <c r="J68" s="13" t="s">
        <v>90</v>
      </c>
    </row>
    <row r="69" spans="2:10" ht="108" x14ac:dyDescent="0.15">
      <c r="B69" s="50"/>
      <c r="C69" s="42"/>
      <c r="D69" s="13" t="s">
        <v>46</v>
      </c>
      <c r="E69" s="13">
        <v>2</v>
      </c>
      <c r="F69" s="22" t="s">
        <v>57</v>
      </c>
      <c r="G69" s="13"/>
      <c r="H69" s="13">
        <v>10</v>
      </c>
      <c r="I69" s="21" t="s">
        <v>29</v>
      </c>
      <c r="J69" s="13" t="s">
        <v>48</v>
      </c>
    </row>
    <row r="70" spans="2:10" ht="81" x14ac:dyDescent="0.15">
      <c r="B70" s="50"/>
      <c r="C70" s="42"/>
      <c r="D70" s="13" t="s">
        <v>146</v>
      </c>
      <c r="E70" s="13">
        <v>2</v>
      </c>
      <c r="F70" s="13" t="s">
        <v>21</v>
      </c>
      <c r="G70" s="13"/>
      <c r="H70" s="13">
        <v>9</v>
      </c>
      <c r="I70" s="21" t="s">
        <v>29</v>
      </c>
      <c r="J70" s="13" t="s">
        <v>147</v>
      </c>
    </row>
    <row r="71" spans="2:10" ht="54" x14ac:dyDescent="0.15">
      <c r="B71" s="50"/>
      <c r="C71" s="42"/>
      <c r="D71" s="13" t="s">
        <v>148</v>
      </c>
      <c r="E71" s="13">
        <v>2</v>
      </c>
      <c r="F71" s="13" t="s">
        <v>47</v>
      </c>
      <c r="G71" s="13"/>
      <c r="H71" s="13">
        <v>8</v>
      </c>
      <c r="I71" s="21" t="s">
        <v>29</v>
      </c>
      <c r="J71" s="13" t="s">
        <v>149</v>
      </c>
    </row>
    <row r="72" spans="2:10" ht="54" x14ac:dyDescent="0.15">
      <c r="B72" s="50"/>
      <c r="C72" s="42"/>
      <c r="D72" s="13" t="s">
        <v>150</v>
      </c>
      <c r="E72" s="13">
        <v>2</v>
      </c>
      <c r="F72" s="13" t="s">
        <v>47</v>
      </c>
      <c r="G72" s="13"/>
      <c r="H72" s="13">
        <v>9</v>
      </c>
      <c r="I72" s="21" t="s">
        <v>29</v>
      </c>
      <c r="J72" s="13" t="s">
        <v>151</v>
      </c>
    </row>
    <row r="73" spans="2:10" ht="27" x14ac:dyDescent="0.15">
      <c r="B73" s="50"/>
      <c r="C73" s="43"/>
      <c r="D73" s="28" t="s">
        <v>152</v>
      </c>
      <c r="E73" s="28">
        <v>3</v>
      </c>
      <c r="F73" s="28">
        <v>6</v>
      </c>
      <c r="G73" s="28"/>
      <c r="H73" s="28">
        <v>7</v>
      </c>
      <c r="I73" s="30" t="s">
        <v>29</v>
      </c>
      <c r="J73" s="28" t="s">
        <v>153</v>
      </c>
    </row>
    <row r="74" spans="2:10" ht="54" x14ac:dyDescent="0.15">
      <c r="B74" s="50"/>
      <c r="C74" s="41" t="s">
        <v>55</v>
      </c>
      <c r="D74" s="24" t="s">
        <v>56</v>
      </c>
      <c r="E74" s="24">
        <v>2</v>
      </c>
      <c r="F74" s="32" t="s">
        <v>57</v>
      </c>
      <c r="G74" s="24"/>
      <c r="H74" s="24">
        <v>5</v>
      </c>
      <c r="I74" s="27" t="s">
        <v>29</v>
      </c>
      <c r="J74" s="24" t="s">
        <v>58</v>
      </c>
    </row>
    <row r="75" spans="2:10" ht="27" x14ac:dyDescent="0.15">
      <c r="B75" s="50"/>
      <c r="C75" s="42"/>
      <c r="D75" s="13" t="s">
        <v>59</v>
      </c>
      <c r="E75" s="13">
        <v>3</v>
      </c>
      <c r="F75" s="13">
        <v>12</v>
      </c>
      <c r="G75" s="13"/>
      <c r="H75" s="13">
        <v>9</v>
      </c>
      <c r="I75" s="21" t="s">
        <v>25</v>
      </c>
      <c r="J75" s="13" t="s">
        <v>154</v>
      </c>
    </row>
    <row r="76" spans="2:10" ht="54" x14ac:dyDescent="0.15">
      <c r="B76" s="50"/>
      <c r="C76" s="42"/>
      <c r="D76" s="13" t="s">
        <v>155</v>
      </c>
      <c r="E76" s="13">
        <v>3</v>
      </c>
      <c r="F76" s="22" t="s">
        <v>60</v>
      </c>
      <c r="G76" s="13"/>
      <c r="H76" s="13">
        <v>9</v>
      </c>
      <c r="I76" s="21" t="s">
        <v>29</v>
      </c>
      <c r="J76" s="13" t="s">
        <v>156</v>
      </c>
    </row>
    <row r="77" spans="2:10" ht="54" x14ac:dyDescent="0.15">
      <c r="B77" s="50"/>
      <c r="C77" s="42"/>
      <c r="D77" s="13" t="s">
        <v>157</v>
      </c>
      <c r="E77" s="13">
        <v>3</v>
      </c>
      <c r="F77" s="22" t="s">
        <v>24</v>
      </c>
      <c r="G77" s="13"/>
      <c r="H77" s="13">
        <v>9</v>
      </c>
      <c r="I77" s="21" t="s">
        <v>29</v>
      </c>
      <c r="J77" s="13" t="s">
        <v>158</v>
      </c>
    </row>
    <row r="78" spans="2:10" ht="54" x14ac:dyDescent="0.15">
      <c r="B78" s="50"/>
      <c r="C78" s="42"/>
      <c r="D78" s="13" t="s">
        <v>115</v>
      </c>
      <c r="E78" s="13">
        <v>3</v>
      </c>
      <c r="F78" s="13" t="s">
        <v>47</v>
      </c>
      <c r="G78" s="13"/>
      <c r="H78" s="13">
        <v>9</v>
      </c>
      <c r="I78" s="21" t="s">
        <v>29</v>
      </c>
      <c r="J78" s="13" t="s">
        <v>159</v>
      </c>
    </row>
    <row r="79" spans="2:10" ht="54" x14ac:dyDescent="0.15">
      <c r="B79" s="50"/>
      <c r="C79" s="42"/>
      <c r="D79" s="13" t="s">
        <v>160</v>
      </c>
      <c r="E79" s="13">
        <v>3</v>
      </c>
      <c r="F79" s="13">
        <v>20</v>
      </c>
      <c r="G79" s="13"/>
      <c r="H79" s="13">
        <v>9</v>
      </c>
      <c r="I79" s="21" t="s">
        <v>29</v>
      </c>
      <c r="J79" s="13" t="s">
        <v>198</v>
      </c>
    </row>
    <row r="80" spans="2:10" ht="54" x14ac:dyDescent="0.15">
      <c r="B80" s="50"/>
      <c r="C80" s="42"/>
      <c r="D80" s="13" t="s">
        <v>162</v>
      </c>
      <c r="E80" s="13">
        <v>3</v>
      </c>
      <c r="F80" s="13" t="s">
        <v>47</v>
      </c>
      <c r="G80" s="13"/>
      <c r="H80" s="13">
        <v>9</v>
      </c>
      <c r="I80" s="21" t="s">
        <v>29</v>
      </c>
      <c r="J80" s="13" t="s">
        <v>163</v>
      </c>
    </row>
    <row r="81" spans="2:10" ht="54" x14ac:dyDescent="0.15">
      <c r="B81" s="50"/>
      <c r="C81" s="43"/>
      <c r="D81" s="28" t="s">
        <v>164</v>
      </c>
      <c r="E81" s="28">
        <v>3</v>
      </c>
      <c r="F81" s="28" t="s">
        <v>57</v>
      </c>
      <c r="G81" s="28"/>
      <c r="H81" s="28">
        <v>8</v>
      </c>
      <c r="I81" s="30" t="s">
        <v>29</v>
      </c>
      <c r="J81" s="28" t="s">
        <v>165</v>
      </c>
    </row>
    <row r="82" spans="2:10" ht="54" x14ac:dyDescent="0.15">
      <c r="B82" s="50"/>
      <c r="C82" s="41" t="s">
        <v>74</v>
      </c>
      <c r="D82" s="24" t="s">
        <v>17</v>
      </c>
      <c r="E82" s="24">
        <v>4</v>
      </c>
      <c r="F82" s="24">
        <v>5</v>
      </c>
      <c r="G82" s="24">
        <f>IF(D4="kg",MROUND(E8*0.75,2.5),MROUND(E8*0.75,5))</f>
        <v>265</v>
      </c>
      <c r="H82" s="26">
        <v>0.75</v>
      </c>
      <c r="I82" s="27" t="s">
        <v>18</v>
      </c>
      <c r="J82" s="24" t="s">
        <v>19</v>
      </c>
    </row>
    <row r="83" spans="2:10" ht="54" x14ac:dyDescent="0.15">
      <c r="B83" s="50"/>
      <c r="C83" s="42"/>
      <c r="D83" s="13" t="s">
        <v>20</v>
      </c>
      <c r="E83" s="13">
        <v>3</v>
      </c>
      <c r="F83" s="22" t="s">
        <v>24</v>
      </c>
      <c r="G83" s="13"/>
      <c r="H83" s="22">
        <v>8</v>
      </c>
      <c r="I83" s="21" t="s">
        <v>25</v>
      </c>
      <c r="J83" s="13" t="s">
        <v>22</v>
      </c>
    </row>
    <row r="84" spans="2:10" ht="54" x14ac:dyDescent="0.15">
      <c r="B84" s="50"/>
      <c r="C84" s="42"/>
      <c r="D84" s="13" t="s">
        <v>166</v>
      </c>
      <c r="E84" s="13">
        <v>2</v>
      </c>
      <c r="F84" s="13">
        <v>10</v>
      </c>
      <c r="G84" s="13"/>
      <c r="H84" s="13">
        <v>9</v>
      </c>
      <c r="I84" s="21" t="s">
        <v>25</v>
      </c>
      <c r="J84" s="13" t="s">
        <v>167</v>
      </c>
    </row>
    <row r="85" spans="2:10" ht="54" x14ac:dyDescent="0.15">
      <c r="B85" s="50"/>
      <c r="C85" s="42"/>
      <c r="D85" s="13" t="s">
        <v>168</v>
      </c>
      <c r="E85" s="13">
        <v>2</v>
      </c>
      <c r="F85" s="13">
        <v>12</v>
      </c>
      <c r="G85" s="13"/>
      <c r="H85" s="13">
        <v>8</v>
      </c>
      <c r="I85" s="21" t="s">
        <v>29</v>
      </c>
      <c r="J85" s="13" t="s">
        <v>169</v>
      </c>
    </row>
    <row r="86" spans="2:10" ht="54" x14ac:dyDescent="0.15">
      <c r="B86" s="50"/>
      <c r="C86" s="42"/>
      <c r="D86" s="13" t="s">
        <v>170</v>
      </c>
      <c r="E86" s="13">
        <v>2</v>
      </c>
      <c r="F86" s="13">
        <v>15</v>
      </c>
      <c r="G86" s="13"/>
      <c r="H86" s="13">
        <v>9</v>
      </c>
      <c r="I86" s="21" t="s">
        <v>29</v>
      </c>
      <c r="J86" s="13" t="s">
        <v>35</v>
      </c>
    </row>
    <row r="87" spans="2:10" ht="54" x14ac:dyDescent="0.15">
      <c r="B87" s="50"/>
      <c r="C87" s="42"/>
      <c r="D87" s="13" t="s">
        <v>171</v>
      </c>
      <c r="E87" s="13">
        <v>2</v>
      </c>
      <c r="F87" s="13">
        <v>20</v>
      </c>
      <c r="G87" s="13"/>
      <c r="H87" s="13">
        <v>8</v>
      </c>
      <c r="I87" s="21" t="s">
        <v>29</v>
      </c>
      <c r="J87" s="13" t="s">
        <v>172</v>
      </c>
    </row>
    <row r="88" spans="2:10" ht="54" x14ac:dyDescent="0.15">
      <c r="B88" s="50"/>
      <c r="C88" s="43"/>
      <c r="D88" s="28" t="s">
        <v>36</v>
      </c>
      <c r="E88" s="28">
        <v>3</v>
      </c>
      <c r="F88" s="28">
        <v>12</v>
      </c>
      <c r="G88" s="28"/>
      <c r="H88" s="28">
        <v>8</v>
      </c>
      <c r="I88" s="30" t="s">
        <v>29</v>
      </c>
      <c r="J88" s="28" t="s">
        <v>173</v>
      </c>
    </row>
    <row r="89" spans="2:10" ht="54" x14ac:dyDescent="0.15">
      <c r="B89" s="50"/>
      <c r="C89" s="44" t="s">
        <v>87</v>
      </c>
      <c r="D89" s="13" t="s">
        <v>39</v>
      </c>
      <c r="E89" s="13">
        <v>4</v>
      </c>
      <c r="F89" s="13">
        <v>5</v>
      </c>
      <c r="G89" s="13">
        <f>IF(D4="kg",MROUND(F8*0.75,2.5),MROUND(F8*0.75,5))</f>
        <v>200</v>
      </c>
      <c r="H89" s="20">
        <v>0.75</v>
      </c>
      <c r="I89" s="21" t="s">
        <v>25</v>
      </c>
      <c r="J89" s="13" t="s">
        <v>174</v>
      </c>
    </row>
    <row r="90" spans="2:10" ht="54" x14ac:dyDescent="0.15">
      <c r="B90" s="50"/>
      <c r="C90" s="45"/>
      <c r="D90" s="13" t="s">
        <v>175</v>
      </c>
      <c r="E90" s="13">
        <v>3</v>
      </c>
      <c r="F90" s="13" t="s">
        <v>176</v>
      </c>
      <c r="G90" s="13">
        <f>IF(D4="kg",MROUND(H8*0.725,2.5),MROUND(H8*0.725,5))</f>
        <v>120</v>
      </c>
      <c r="H90" s="36">
        <v>0.72499999999999998</v>
      </c>
      <c r="I90" s="21" t="s">
        <v>25</v>
      </c>
      <c r="J90" s="13" t="s">
        <v>177</v>
      </c>
    </row>
    <row r="91" spans="2:10" ht="54" x14ac:dyDescent="0.15">
      <c r="B91" s="50"/>
      <c r="C91" s="45"/>
      <c r="D91" s="13" t="s">
        <v>178</v>
      </c>
      <c r="E91" s="13">
        <v>3</v>
      </c>
      <c r="F91" s="22" t="s">
        <v>179</v>
      </c>
      <c r="G91" s="13"/>
      <c r="H91" s="13">
        <v>8</v>
      </c>
      <c r="I91" s="21" t="s">
        <v>29</v>
      </c>
      <c r="J91" s="13" t="s">
        <v>180</v>
      </c>
    </row>
    <row r="92" spans="2:10" ht="54" x14ac:dyDescent="0.15">
      <c r="B92" s="50"/>
      <c r="C92" s="45"/>
      <c r="D92" s="13" t="s">
        <v>181</v>
      </c>
      <c r="E92" s="13">
        <v>3</v>
      </c>
      <c r="F92" s="13" t="s">
        <v>47</v>
      </c>
      <c r="G92" s="13"/>
      <c r="H92" s="13">
        <v>9</v>
      </c>
      <c r="I92" s="21" t="s">
        <v>29</v>
      </c>
      <c r="J92" s="13" t="s">
        <v>182</v>
      </c>
    </row>
    <row r="93" spans="2:10" ht="54" x14ac:dyDescent="0.15">
      <c r="B93" s="50"/>
      <c r="C93" s="45"/>
      <c r="D93" s="13" t="s">
        <v>183</v>
      </c>
      <c r="E93" s="13">
        <v>3</v>
      </c>
      <c r="F93" s="13" t="s">
        <v>57</v>
      </c>
      <c r="G93" s="13"/>
      <c r="H93" s="13">
        <v>9</v>
      </c>
      <c r="I93" s="21" t="s">
        <v>29</v>
      </c>
      <c r="J93" s="13" t="s">
        <v>98</v>
      </c>
    </row>
    <row r="94" spans="2:10" ht="54" x14ac:dyDescent="0.15">
      <c r="B94" s="50"/>
      <c r="C94" s="46"/>
      <c r="D94" s="13" t="s">
        <v>184</v>
      </c>
      <c r="E94" s="13">
        <v>3</v>
      </c>
      <c r="F94" s="13" t="s">
        <v>185</v>
      </c>
      <c r="G94" s="13"/>
      <c r="H94" s="13">
        <v>7</v>
      </c>
      <c r="I94" s="21" t="s">
        <v>29</v>
      </c>
      <c r="J94" s="13" t="s">
        <v>186</v>
      </c>
    </row>
    <row r="95" spans="2:10" ht="54" x14ac:dyDescent="0.15">
      <c r="B95" s="50"/>
      <c r="C95" s="41" t="s">
        <v>103</v>
      </c>
      <c r="D95" s="24" t="s">
        <v>187</v>
      </c>
      <c r="E95" s="24">
        <v>3</v>
      </c>
      <c r="F95" s="24">
        <v>12</v>
      </c>
      <c r="G95" s="24"/>
      <c r="H95" s="24">
        <v>9</v>
      </c>
      <c r="I95" s="27" t="s">
        <v>25</v>
      </c>
      <c r="J95" s="24" t="s">
        <v>188</v>
      </c>
    </row>
    <row r="96" spans="2:10" ht="54" x14ac:dyDescent="0.15">
      <c r="B96" s="50"/>
      <c r="C96" s="42"/>
      <c r="D96" s="13" t="s">
        <v>189</v>
      </c>
      <c r="E96" s="13">
        <v>3</v>
      </c>
      <c r="F96" s="13" t="s">
        <v>21</v>
      </c>
      <c r="G96" s="13"/>
      <c r="H96" s="13">
        <v>8</v>
      </c>
      <c r="I96" s="21" t="s">
        <v>25</v>
      </c>
      <c r="J96" s="13" t="s">
        <v>190</v>
      </c>
    </row>
    <row r="97" spans="2:10" ht="54" x14ac:dyDescent="0.15">
      <c r="B97" s="50"/>
      <c r="C97" s="42"/>
      <c r="D97" s="13" t="s">
        <v>110</v>
      </c>
      <c r="E97" s="13">
        <v>3</v>
      </c>
      <c r="F97" s="13" t="s">
        <v>57</v>
      </c>
      <c r="G97" s="13"/>
      <c r="H97" s="13">
        <v>9</v>
      </c>
      <c r="I97" s="21" t="s">
        <v>29</v>
      </c>
      <c r="J97" s="13" t="s">
        <v>111</v>
      </c>
    </row>
    <row r="98" spans="2:10" ht="54" x14ac:dyDescent="0.15">
      <c r="B98" s="50"/>
      <c r="C98" s="42"/>
      <c r="D98" s="13" t="s">
        <v>191</v>
      </c>
      <c r="E98" s="13">
        <v>3</v>
      </c>
      <c r="F98" s="13">
        <v>15</v>
      </c>
      <c r="G98" s="13"/>
      <c r="H98" s="13">
        <v>9</v>
      </c>
      <c r="I98" s="21" t="s">
        <v>29</v>
      </c>
      <c r="J98" s="13" t="s">
        <v>192</v>
      </c>
    </row>
    <row r="99" spans="2:10" ht="54" x14ac:dyDescent="0.15">
      <c r="B99" s="50"/>
      <c r="C99" s="42"/>
      <c r="D99" s="13" t="s">
        <v>193</v>
      </c>
      <c r="E99" s="13">
        <v>4</v>
      </c>
      <c r="F99" s="13">
        <v>8</v>
      </c>
      <c r="G99" s="13"/>
      <c r="H99" s="13">
        <v>10</v>
      </c>
      <c r="I99" s="21" t="s">
        <v>32</v>
      </c>
      <c r="J99" s="13" t="s">
        <v>194</v>
      </c>
    </row>
    <row r="100" spans="2:10" ht="54" x14ac:dyDescent="0.15">
      <c r="B100" s="50"/>
      <c r="C100" s="42"/>
      <c r="D100" s="13" t="s">
        <v>195</v>
      </c>
      <c r="E100" s="13">
        <v>4</v>
      </c>
      <c r="F100" s="13">
        <v>8</v>
      </c>
      <c r="G100" s="13"/>
      <c r="H100" s="13">
        <v>10</v>
      </c>
      <c r="I100" s="21" t="s">
        <v>32</v>
      </c>
      <c r="J100" s="13" t="s">
        <v>194</v>
      </c>
    </row>
    <row r="101" spans="2:10" ht="54" x14ac:dyDescent="0.15">
      <c r="B101" s="51"/>
      <c r="C101" s="43"/>
      <c r="D101" s="28" t="s">
        <v>196</v>
      </c>
      <c r="E101" s="28">
        <v>4</v>
      </c>
      <c r="F101" s="28">
        <v>8</v>
      </c>
      <c r="G101" s="28"/>
      <c r="H101" s="28">
        <v>10</v>
      </c>
      <c r="I101" s="30" t="s">
        <v>29</v>
      </c>
      <c r="J101" s="28" t="s">
        <v>197</v>
      </c>
    </row>
    <row r="102" spans="2:10" ht="26" x14ac:dyDescent="0.2">
      <c r="C102" s="33"/>
      <c r="D102" s="13"/>
      <c r="E102" s="34"/>
      <c r="F102" s="35"/>
    </row>
    <row r="103" spans="2:10" ht="22" x14ac:dyDescent="0.15">
      <c r="B103" s="49" t="s">
        <v>121</v>
      </c>
      <c r="C103" s="15" t="s">
        <v>9</v>
      </c>
      <c r="D103" s="16" t="s">
        <v>10</v>
      </c>
      <c r="E103" s="16" t="s">
        <v>11</v>
      </c>
      <c r="F103" s="17" t="s">
        <v>12</v>
      </c>
      <c r="G103" s="16" t="str">
        <f>IF(D4 = "kg", "Load (kg)", "Load (lbs)")</f>
        <v>Load (lbs)</v>
      </c>
      <c r="H103" s="17" t="s">
        <v>13</v>
      </c>
      <c r="I103" s="17" t="s">
        <v>14</v>
      </c>
      <c r="J103" s="18" t="s">
        <v>15</v>
      </c>
    </row>
    <row r="104" spans="2:10" ht="81" x14ac:dyDescent="0.15">
      <c r="B104" s="50"/>
      <c r="C104" s="47" t="s">
        <v>16</v>
      </c>
      <c r="D104" s="13" t="s">
        <v>75</v>
      </c>
      <c r="E104" s="13">
        <v>5</v>
      </c>
      <c r="F104" s="13">
        <v>3</v>
      </c>
      <c r="G104" s="13">
        <f>IF(D4="kg",MROUND(G8*0.8,2.5),MROUND(G8*0.8,5))</f>
        <v>365</v>
      </c>
      <c r="H104" s="20">
        <v>0.8</v>
      </c>
      <c r="I104" s="21" t="s">
        <v>18</v>
      </c>
      <c r="J104" s="13" t="s">
        <v>76</v>
      </c>
    </row>
    <row r="105" spans="2:10" ht="81" x14ac:dyDescent="0.15">
      <c r="B105" s="50"/>
      <c r="C105" s="42"/>
      <c r="D105" s="13" t="s">
        <v>130</v>
      </c>
      <c r="E105" s="13">
        <v>2</v>
      </c>
      <c r="F105" s="13">
        <v>6</v>
      </c>
      <c r="G105" s="13">
        <f>IF(D4="kg",MROUND(E8*0.65,2.5),MROUND(E8*0.65,5))</f>
        <v>230</v>
      </c>
      <c r="H105" s="20">
        <v>0.65</v>
      </c>
      <c r="I105" s="21" t="s">
        <v>18</v>
      </c>
      <c r="J105" s="13" t="s">
        <v>131</v>
      </c>
    </row>
    <row r="106" spans="2:10" ht="54" x14ac:dyDescent="0.15">
      <c r="B106" s="50"/>
      <c r="C106" s="42"/>
      <c r="D106" s="13" t="s">
        <v>132</v>
      </c>
      <c r="E106" s="13">
        <v>2</v>
      </c>
      <c r="F106" s="13">
        <v>20</v>
      </c>
      <c r="G106" s="13"/>
      <c r="H106" s="13">
        <v>8</v>
      </c>
      <c r="I106" s="21" t="s">
        <v>29</v>
      </c>
      <c r="J106" s="13" t="s">
        <v>133</v>
      </c>
    </row>
    <row r="107" spans="2:10" ht="27" x14ac:dyDescent="0.15">
      <c r="B107" s="50"/>
      <c r="C107" s="42"/>
      <c r="D107" s="13" t="s">
        <v>134</v>
      </c>
      <c r="E107" s="13">
        <v>2</v>
      </c>
      <c r="F107" s="13">
        <v>15</v>
      </c>
      <c r="G107" s="13"/>
      <c r="H107" s="13">
        <v>9</v>
      </c>
      <c r="I107" s="21" t="s">
        <v>29</v>
      </c>
      <c r="J107" s="13" t="s">
        <v>135</v>
      </c>
    </row>
    <row r="108" spans="2:10" ht="54" x14ac:dyDescent="0.15">
      <c r="B108" s="50"/>
      <c r="C108" s="42"/>
      <c r="D108" s="13" t="s">
        <v>136</v>
      </c>
      <c r="E108" s="13">
        <v>2</v>
      </c>
      <c r="F108" s="13">
        <v>12</v>
      </c>
      <c r="G108" s="13"/>
      <c r="H108" s="13">
        <v>9</v>
      </c>
      <c r="I108" s="21" t="s">
        <v>29</v>
      </c>
      <c r="J108" s="13" t="s">
        <v>137</v>
      </c>
    </row>
    <row r="109" spans="2:10" ht="54" x14ac:dyDescent="0.15">
      <c r="B109" s="50"/>
      <c r="C109" s="42"/>
      <c r="D109" s="13" t="s">
        <v>138</v>
      </c>
      <c r="E109" s="13">
        <v>2</v>
      </c>
      <c r="F109" s="13">
        <v>12</v>
      </c>
      <c r="G109" s="13"/>
      <c r="H109" s="13">
        <v>9</v>
      </c>
      <c r="I109" s="21" t="s">
        <v>29</v>
      </c>
      <c r="J109" s="13" t="s">
        <v>137</v>
      </c>
    </row>
    <row r="110" spans="2:10" ht="54" x14ac:dyDescent="0.15">
      <c r="B110" s="50"/>
      <c r="C110" s="42"/>
      <c r="D110" s="13" t="s">
        <v>139</v>
      </c>
      <c r="E110" s="13">
        <v>2</v>
      </c>
      <c r="F110" s="13">
        <v>15</v>
      </c>
      <c r="G110" s="13"/>
      <c r="H110" s="13">
        <v>8</v>
      </c>
      <c r="I110" s="21" t="s">
        <v>29</v>
      </c>
      <c r="J110" s="13" t="s">
        <v>140</v>
      </c>
    </row>
    <row r="111" spans="2:10" ht="81" x14ac:dyDescent="0.15">
      <c r="B111" s="50"/>
      <c r="C111" s="48"/>
      <c r="D111" s="13" t="s">
        <v>141</v>
      </c>
      <c r="E111" s="13">
        <v>3</v>
      </c>
      <c r="F111" s="13">
        <v>8</v>
      </c>
      <c r="G111" s="13"/>
      <c r="H111" s="13">
        <v>8</v>
      </c>
      <c r="I111" s="21" t="s">
        <v>29</v>
      </c>
      <c r="J111" s="13" t="s">
        <v>142</v>
      </c>
    </row>
    <row r="112" spans="2:10" ht="54" x14ac:dyDescent="0.15">
      <c r="B112" s="50"/>
      <c r="C112" s="41" t="s">
        <v>38</v>
      </c>
      <c r="D112" s="24" t="s">
        <v>39</v>
      </c>
      <c r="E112" s="24">
        <v>2</v>
      </c>
      <c r="F112" s="24">
        <v>8</v>
      </c>
      <c r="G112" s="24">
        <f>IF(D4="kg",MROUND(F8*0.75,2.5),MROUND(F8*0.75,5))</f>
        <v>200</v>
      </c>
      <c r="H112" s="26">
        <v>0.75</v>
      </c>
      <c r="I112" s="37" t="s">
        <v>25</v>
      </c>
      <c r="J112" s="24" t="s">
        <v>40</v>
      </c>
    </row>
    <row r="113" spans="2:10" ht="54" x14ac:dyDescent="0.15">
      <c r="B113" s="50"/>
      <c r="C113" s="42"/>
      <c r="D113" s="13" t="s">
        <v>143</v>
      </c>
      <c r="E113" s="13">
        <v>2</v>
      </c>
      <c r="F113" s="13">
        <v>12</v>
      </c>
      <c r="G113" s="13"/>
      <c r="H113" s="13">
        <v>9</v>
      </c>
      <c r="I113" s="38" t="s">
        <v>29</v>
      </c>
      <c r="J113" s="13" t="s">
        <v>144</v>
      </c>
    </row>
    <row r="114" spans="2:10" ht="27" x14ac:dyDescent="0.15">
      <c r="B114" s="50"/>
      <c r="C114" s="42"/>
      <c r="D114" s="13" t="s">
        <v>145</v>
      </c>
      <c r="E114" s="13">
        <v>2</v>
      </c>
      <c r="F114" s="13">
        <v>15</v>
      </c>
      <c r="G114" s="13"/>
      <c r="H114" s="13">
        <v>9</v>
      </c>
      <c r="I114" s="38" t="s">
        <v>29</v>
      </c>
      <c r="J114" s="13" t="s">
        <v>90</v>
      </c>
    </row>
    <row r="115" spans="2:10" ht="108" x14ac:dyDescent="0.15">
      <c r="B115" s="50"/>
      <c r="C115" s="42"/>
      <c r="D115" s="13" t="s">
        <v>46</v>
      </c>
      <c r="E115" s="13">
        <v>2</v>
      </c>
      <c r="F115" s="22" t="s">
        <v>57</v>
      </c>
      <c r="G115" s="13"/>
      <c r="H115" s="13">
        <v>10</v>
      </c>
      <c r="I115" s="38" t="s">
        <v>29</v>
      </c>
      <c r="J115" s="13" t="s">
        <v>48</v>
      </c>
    </row>
    <row r="116" spans="2:10" ht="81" x14ac:dyDescent="0.15">
      <c r="B116" s="50"/>
      <c r="C116" s="42"/>
      <c r="D116" s="13" t="s">
        <v>146</v>
      </c>
      <c r="E116" s="13">
        <v>2</v>
      </c>
      <c r="F116" s="13" t="s">
        <v>21</v>
      </c>
      <c r="G116" s="13"/>
      <c r="H116" s="13">
        <v>9</v>
      </c>
      <c r="I116" s="38" t="s">
        <v>29</v>
      </c>
      <c r="J116" s="13" t="s">
        <v>147</v>
      </c>
    </row>
    <row r="117" spans="2:10" ht="54" x14ac:dyDescent="0.15">
      <c r="B117" s="50"/>
      <c r="C117" s="42"/>
      <c r="D117" s="13" t="s">
        <v>148</v>
      </c>
      <c r="E117" s="13">
        <v>2</v>
      </c>
      <c r="F117" s="13" t="s">
        <v>47</v>
      </c>
      <c r="G117" s="13"/>
      <c r="H117" s="13">
        <v>8</v>
      </c>
      <c r="I117" s="38" t="s">
        <v>29</v>
      </c>
      <c r="J117" s="13" t="s">
        <v>149</v>
      </c>
    </row>
    <row r="118" spans="2:10" ht="54" x14ac:dyDescent="0.15">
      <c r="B118" s="50"/>
      <c r="C118" s="42"/>
      <c r="D118" s="13" t="s">
        <v>150</v>
      </c>
      <c r="E118" s="13">
        <v>2</v>
      </c>
      <c r="F118" s="13" t="s">
        <v>47</v>
      </c>
      <c r="G118" s="13"/>
      <c r="H118" s="13">
        <v>9</v>
      </c>
      <c r="I118" s="38" t="s">
        <v>29</v>
      </c>
      <c r="J118" s="13" t="s">
        <v>151</v>
      </c>
    </row>
    <row r="119" spans="2:10" ht="27" x14ac:dyDescent="0.15">
      <c r="B119" s="50"/>
      <c r="C119" s="43"/>
      <c r="D119" s="28" t="s">
        <v>152</v>
      </c>
      <c r="E119" s="28">
        <v>3</v>
      </c>
      <c r="F119" s="28">
        <v>6</v>
      </c>
      <c r="G119" s="28"/>
      <c r="H119" s="28">
        <v>7</v>
      </c>
      <c r="I119" s="39" t="s">
        <v>29</v>
      </c>
      <c r="J119" s="28" t="s">
        <v>153</v>
      </c>
    </row>
    <row r="120" spans="2:10" ht="54" x14ac:dyDescent="0.15">
      <c r="B120" s="50"/>
      <c r="C120" s="47" t="s">
        <v>55</v>
      </c>
      <c r="D120" s="13" t="s">
        <v>56</v>
      </c>
      <c r="E120" s="13">
        <v>2</v>
      </c>
      <c r="F120" s="22" t="s">
        <v>57</v>
      </c>
      <c r="G120" s="13"/>
      <c r="H120" s="13">
        <v>5</v>
      </c>
      <c r="I120" s="38" t="s">
        <v>29</v>
      </c>
      <c r="J120" s="13" t="s">
        <v>58</v>
      </c>
    </row>
    <row r="121" spans="2:10" ht="27" x14ac:dyDescent="0.15">
      <c r="B121" s="50"/>
      <c r="C121" s="42"/>
      <c r="D121" s="13" t="s">
        <v>59</v>
      </c>
      <c r="E121" s="13">
        <v>3</v>
      </c>
      <c r="F121" s="13">
        <v>12</v>
      </c>
      <c r="G121" s="13"/>
      <c r="H121" s="13">
        <v>9</v>
      </c>
      <c r="I121" s="38" t="s">
        <v>25</v>
      </c>
      <c r="J121" s="13" t="s">
        <v>154</v>
      </c>
    </row>
    <row r="122" spans="2:10" ht="54" x14ac:dyDescent="0.15">
      <c r="B122" s="50"/>
      <c r="C122" s="42"/>
      <c r="D122" s="13" t="s">
        <v>155</v>
      </c>
      <c r="E122" s="13">
        <v>3</v>
      </c>
      <c r="F122" s="22" t="s">
        <v>60</v>
      </c>
      <c r="G122" s="13"/>
      <c r="H122" s="13">
        <v>9</v>
      </c>
      <c r="I122" s="38" t="s">
        <v>29</v>
      </c>
      <c r="J122" s="13" t="s">
        <v>156</v>
      </c>
    </row>
    <row r="123" spans="2:10" ht="54" x14ac:dyDescent="0.15">
      <c r="B123" s="50"/>
      <c r="C123" s="42"/>
      <c r="D123" s="13" t="s">
        <v>157</v>
      </c>
      <c r="E123" s="13">
        <v>3</v>
      </c>
      <c r="F123" s="22" t="s">
        <v>24</v>
      </c>
      <c r="G123" s="13"/>
      <c r="H123" s="13">
        <v>9</v>
      </c>
      <c r="I123" s="38" t="s">
        <v>29</v>
      </c>
      <c r="J123" s="13" t="s">
        <v>158</v>
      </c>
    </row>
    <row r="124" spans="2:10" ht="54" x14ac:dyDescent="0.15">
      <c r="B124" s="50"/>
      <c r="C124" s="42"/>
      <c r="D124" s="13" t="s">
        <v>115</v>
      </c>
      <c r="E124" s="13">
        <v>3</v>
      </c>
      <c r="F124" s="13" t="s">
        <v>47</v>
      </c>
      <c r="G124" s="13"/>
      <c r="H124" s="13">
        <v>9</v>
      </c>
      <c r="I124" s="38" t="s">
        <v>29</v>
      </c>
      <c r="J124" s="13" t="s">
        <v>159</v>
      </c>
    </row>
    <row r="125" spans="2:10" ht="54" x14ac:dyDescent="0.15">
      <c r="B125" s="50"/>
      <c r="C125" s="42"/>
      <c r="D125" s="13" t="s">
        <v>160</v>
      </c>
      <c r="E125" s="13">
        <v>3</v>
      </c>
      <c r="F125" s="13">
        <v>20</v>
      </c>
      <c r="G125" s="13"/>
      <c r="H125" s="13">
        <v>9</v>
      </c>
      <c r="I125" s="38" t="s">
        <v>29</v>
      </c>
      <c r="J125" s="13" t="s">
        <v>198</v>
      </c>
    </row>
    <row r="126" spans="2:10" ht="54" x14ac:dyDescent="0.15">
      <c r="B126" s="50"/>
      <c r="C126" s="42"/>
      <c r="D126" s="13" t="s">
        <v>162</v>
      </c>
      <c r="E126" s="13">
        <v>3</v>
      </c>
      <c r="F126" s="13" t="s">
        <v>47</v>
      </c>
      <c r="G126" s="13"/>
      <c r="H126" s="13">
        <v>9</v>
      </c>
      <c r="I126" s="38" t="s">
        <v>29</v>
      </c>
      <c r="J126" s="13" t="s">
        <v>163</v>
      </c>
    </row>
    <row r="127" spans="2:10" ht="54" x14ac:dyDescent="0.15">
      <c r="B127" s="50"/>
      <c r="C127" s="48"/>
      <c r="D127" s="13" t="s">
        <v>164</v>
      </c>
      <c r="E127" s="13">
        <v>3</v>
      </c>
      <c r="F127" s="13" t="s">
        <v>57</v>
      </c>
      <c r="G127" s="13"/>
      <c r="H127" s="13">
        <v>8</v>
      </c>
      <c r="I127" s="38" t="s">
        <v>29</v>
      </c>
      <c r="J127" s="13" t="s">
        <v>165</v>
      </c>
    </row>
    <row r="128" spans="2:10" ht="54" x14ac:dyDescent="0.15">
      <c r="B128" s="50"/>
      <c r="C128" s="41" t="s">
        <v>74</v>
      </c>
      <c r="D128" s="24" t="s">
        <v>17</v>
      </c>
      <c r="E128" s="24">
        <v>4</v>
      </c>
      <c r="F128" s="24">
        <v>4</v>
      </c>
      <c r="G128" s="24">
        <f>IF(D4="kg",MROUND(E8*0.775,2.5),MROUND(E8*0.775,5))</f>
        <v>275</v>
      </c>
      <c r="H128" s="31">
        <v>0.77500000000000002</v>
      </c>
      <c r="I128" s="37" t="s">
        <v>18</v>
      </c>
      <c r="J128" s="24" t="s">
        <v>19</v>
      </c>
    </row>
    <row r="129" spans="2:10" ht="54" x14ac:dyDescent="0.15">
      <c r="B129" s="50"/>
      <c r="C129" s="42"/>
      <c r="D129" s="13" t="s">
        <v>20</v>
      </c>
      <c r="E129" s="13">
        <v>3</v>
      </c>
      <c r="F129" s="22" t="s">
        <v>24</v>
      </c>
      <c r="G129" s="13"/>
      <c r="H129" s="22">
        <v>8</v>
      </c>
      <c r="I129" s="38" t="s">
        <v>25</v>
      </c>
      <c r="J129" s="13" t="s">
        <v>22</v>
      </c>
    </row>
    <row r="130" spans="2:10" ht="54" x14ac:dyDescent="0.15">
      <c r="B130" s="50"/>
      <c r="C130" s="42"/>
      <c r="D130" s="13" t="s">
        <v>166</v>
      </c>
      <c r="E130" s="13">
        <v>2</v>
      </c>
      <c r="F130" s="13">
        <v>10</v>
      </c>
      <c r="G130" s="13"/>
      <c r="H130" s="13">
        <v>9</v>
      </c>
      <c r="I130" s="38" t="s">
        <v>25</v>
      </c>
      <c r="J130" s="13" t="s">
        <v>167</v>
      </c>
    </row>
    <row r="131" spans="2:10" ht="54" x14ac:dyDescent="0.15">
      <c r="B131" s="50"/>
      <c r="C131" s="42"/>
      <c r="D131" s="13" t="s">
        <v>168</v>
      </c>
      <c r="E131" s="13">
        <v>2</v>
      </c>
      <c r="F131" s="13">
        <v>12</v>
      </c>
      <c r="G131" s="13"/>
      <c r="H131" s="13">
        <v>8</v>
      </c>
      <c r="I131" s="38" t="s">
        <v>29</v>
      </c>
      <c r="J131" s="13" t="s">
        <v>169</v>
      </c>
    </row>
    <row r="132" spans="2:10" ht="54" x14ac:dyDescent="0.15">
      <c r="B132" s="50"/>
      <c r="C132" s="42"/>
      <c r="D132" s="13" t="s">
        <v>170</v>
      </c>
      <c r="E132" s="13">
        <v>2</v>
      </c>
      <c r="F132" s="13">
        <v>15</v>
      </c>
      <c r="G132" s="13"/>
      <c r="H132" s="13">
        <v>9</v>
      </c>
      <c r="I132" s="38" t="s">
        <v>29</v>
      </c>
      <c r="J132" s="13" t="s">
        <v>35</v>
      </c>
    </row>
    <row r="133" spans="2:10" ht="54" x14ac:dyDescent="0.15">
      <c r="B133" s="50"/>
      <c r="C133" s="42"/>
      <c r="D133" s="13" t="s">
        <v>171</v>
      </c>
      <c r="E133" s="13">
        <v>2</v>
      </c>
      <c r="F133" s="13">
        <v>20</v>
      </c>
      <c r="G133" s="13"/>
      <c r="H133" s="13">
        <v>8</v>
      </c>
      <c r="I133" s="38" t="s">
        <v>29</v>
      </c>
      <c r="J133" s="13" t="s">
        <v>172</v>
      </c>
    </row>
    <row r="134" spans="2:10" ht="54" x14ac:dyDescent="0.15">
      <c r="B134" s="50"/>
      <c r="C134" s="43"/>
      <c r="D134" s="28" t="s">
        <v>36</v>
      </c>
      <c r="E134" s="28">
        <v>3</v>
      </c>
      <c r="F134" s="28">
        <v>12</v>
      </c>
      <c r="G134" s="28"/>
      <c r="H134" s="28">
        <v>8</v>
      </c>
      <c r="I134" s="39" t="s">
        <v>29</v>
      </c>
      <c r="J134" s="28" t="s">
        <v>173</v>
      </c>
    </row>
    <row r="135" spans="2:10" ht="54" x14ac:dyDescent="0.15">
      <c r="B135" s="50"/>
      <c r="C135" s="44" t="s">
        <v>87</v>
      </c>
      <c r="D135" s="13" t="s">
        <v>39</v>
      </c>
      <c r="E135" s="13">
        <v>4</v>
      </c>
      <c r="F135" s="13">
        <v>5</v>
      </c>
      <c r="G135" s="13">
        <f>IF(D4="kg",MROUND(F8*0.775,2.5),MROUND(F8*0.775,5))</f>
        <v>205</v>
      </c>
      <c r="H135" s="36">
        <v>0.77500000000000002</v>
      </c>
      <c r="I135" s="38" t="s">
        <v>25</v>
      </c>
      <c r="J135" s="13" t="s">
        <v>174</v>
      </c>
    </row>
    <row r="136" spans="2:10" ht="54" x14ac:dyDescent="0.15">
      <c r="B136" s="50"/>
      <c r="C136" s="45"/>
      <c r="D136" s="13" t="s">
        <v>175</v>
      </c>
      <c r="E136" s="13">
        <v>3</v>
      </c>
      <c r="F136" s="13" t="s">
        <v>176</v>
      </c>
      <c r="G136" s="13">
        <f>IF(D4="kg",MROUND(H8*0.775,2.5),MROUND(H8*0.775,5))</f>
        <v>130</v>
      </c>
      <c r="H136" s="36">
        <v>0.77500000000000002</v>
      </c>
      <c r="I136" s="38" t="s">
        <v>25</v>
      </c>
      <c r="J136" s="13" t="s">
        <v>177</v>
      </c>
    </row>
    <row r="137" spans="2:10" ht="54" x14ac:dyDescent="0.15">
      <c r="B137" s="50"/>
      <c r="C137" s="45"/>
      <c r="D137" s="13" t="s">
        <v>178</v>
      </c>
      <c r="E137" s="13">
        <v>3</v>
      </c>
      <c r="F137" s="22" t="s">
        <v>179</v>
      </c>
      <c r="G137" s="13"/>
      <c r="H137" s="13">
        <v>8</v>
      </c>
      <c r="I137" s="38" t="s">
        <v>29</v>
      </c>
      <c r="J137" s="13" t="s">
        <v>180</v>
      </c>
    </row>
    <row r="138" spans="2:10" ht="54" x14ac:dyDescent="0.15">
      <c r="B138" s="50"/>
      <c r="C138" s="45"/>
      <c r="D138" s="13" t="s">
        <v>181</v>
      </c>
      <c r="E138" s="13">
        <v>3</v>
      </c>
      <c r="F138" s="13" t="s">
        <v>47</v>
      </c>
      <c r="G138" s="13"/>
      <c r="H138" s="13">
        <v>9</v>
      </c>
      <c r="I138" s="38" t="s">
        <v>29</v>
      </c>
      <c r="J138" s="13" t="s">
        <v>182</v>
      </c>
    </row>
    <row r="139" spans="2:10" ht="54" x14ac:dyDescent="0.15">
      <c r="B139" s="50"/>
      <c r="C139" s="45"/>
      <c r="D139" s="13" t="s">
        <v>183</v>
      </c>
      <c r="E139" s="13">
        <v>3</v>
      </c>
      <c r="F139" s="13" t="s">
        <v>57</v>
      </c>
      <c r="G139" s="13"/>
      <c r="H139" s="13">
        <v>9</v>
      </c>
      <c r="I139" s="38" t="s">
        <v>29</v>
      </c>
      <c r="J139" s="13" t="s">
        <v>98</v>
      </c>
    </row>
    <row r="140" spans="2:10" ht="54" x14ac:dyDescent="0.15">
      <c r="B140" s="50"/>
      <c r="C140" s="46"/>
      <c r="D140" s="13" t="s">
        <v>184</v>
      </c>
      <c r="E140" s="13">
        <v>3</v>
      </c>
      <c r="F140" s="13" t="s">
        <v>185</v>
      </c>
      <c r="G140" s="13"/>
      <c r="H140" s="13">
        <v>7</v>
      </c>
      <c r="I140" s="38" t="s">
        <v>29</v>
      </c>
      <c r="J140" s="13" t="s">
        <v>186</v>
      </c>
    </row>
    <row r="141" spans="2:10" ht="54" x14ac:dyDescent="0.15">
      <c r="B141" s="50"/>
      <c r="C141" s="41" t="s">
        <v>103</v>
      </c>
      <c r="D141" s="24" t="s">
        <v>187</v>
      </c>
      <c r="E141" s="24">
        <v>3</v>
      </c>
      <c r="F141" s="24">
        <v>12</v>
      </c>
      <c r="G141" s="24"/>
      <c r="H141" s="24">
        <v>9</v>
      </c>
      <c r="I141" s="37" t="s">
        <v>25</v>
      </c>
      <c r="J141" s="24" t="s">
        <v>188</v>
      </c>
    </row>
    <row r="142" spans="2:10" ht="54" x14ac:dyDescent="0.15">
      <c r="B142" s="50"/>
      <c r="C142" s="42"/>
      <c r="D142" s="13" t="s">
        <v>189</v>
      </c>
      <c r="E142" s="13">
        <v>3</v>
      </c>
      <c r="F142" s="13" t="s">
        <v>21</v>
      </c>
      <c r="G142" s="13"/>
      <c r="H142" s="13">
        <v>8</v>
      </c>
      <c r="I142" s="38" t="s">
        <v>25</v>
      </c>
      <c r="J142" s="13" t="s">
        <v>190</v>
      </c>
    </row>
    <row r="143" spans="2:10" ht="54" x14ac:dyDescent="0.15">
      <c r="B143" s="50"/>
      <c r="C143" s="42"/>
      <c r="D143" s="13" t="s">
        <v>110</v>
      </c>
      <c r="E143" s="13">
        <v>3</v>
      </c>
      <c r="F143" s="13" t="s">
        <v>57</v>
      </c>
      <c r="G143" s="13"/>
      <c r="H143" s="13">
        <v>9</v>
      </c>
      <c r="I143" s="38" t="s">
        <v>29</v>
      </c>
      <c r="J143" s="13" t="s">
        <v>111</v>
      </c>
    </row>
    <row r="144" spans="2:10" ht="54" x14ac:dyDescent="0.15">
      <c r="B144" s="50"/>
      <c r="C144" s="42"/>
      <c r="D144" s="13" t="s">
        <v>191</v>
      </c>
      <c r="E144" s="13">
        <v>3</v>
      </c>
      <c r="F144" s="13">
        <v>15</v>
      </c>
      <c r="G144" s="13"/>
      <c r="H144" s="13">
        <v>9</v>
      </c>
      <c r="I144" s="38" t="s">
        <v>29</v>
      </c>
      <c r="J144" s="13" t="s">
        <v>192</v>
      </c>
    </row>
    <row r="145" spans="2:10" ht="54" x14ac:dyDescent="0.15">
      <c r="B145" s="50"/>
      <c r="C145" s="42"/>
      <c r="D145" s="13" t="s">
        <v>193</v>
      </c>
      <c r="E145" s="13">
        <v>4</v>
      </c>
      <c r="F145" s="13">
        <v>8</v>
      </c>
      <c r="G145" s="13"/>
      <c r="H145" s="13">
        <v>10</v>
      </c>
      <c r="I145" s="38" t="s">
        <v>32</v>
      </c>
      <c r="J145" s="13" t="s">
        <v>194</v>
      </c>
    </row>
    <row r="146" spans="2:10" ht="54" x14ac:dyDescent="0.15">
      <c r="B146" s="50"/>
      <c r="C146" s="42"/>
      <c r="D146" s="13" t="s">
        <v>195</v>
      </c>
      <c r="E146" s="13">
        <v>4</v>
      </c>
      <c r="F146" s="13">
        <v>8</v>
      </c>
      <c r="G146" s="13"/>
      <c r="H146" s="13">
        <v>10</v>
      </c>
      <c r="I146" s="38" t="s">
        <v>32</v>
      </c>
      <c r="J146" s="13" t="s">
        <v>194</v>
      </c>
    </row>
    <row r="147" spans="2:10" ht="54" x14ac:dyDescent="0.15">
      <c r="B147" s="51"/>
      <c r="C147" s="43"/>
      <c r="D147" s="28" t="s">
        <v>196</v>
      </c>
      <c r="E147" s="28">
        <v>4</v>
      </c>
      <c r="F147" s="28">
        <v>8</v>
      </c>
      <c r="G147" s="28"/>
      <c r="H147" s="28">
        <v>10</v>
      </c>
      <c r="I147" s="39" t="s">
        <v>29</v>
      </c>
      <c r="J147" s="28" t="s">
        <v>197</v>
      </c>
    </row>
    <row r="148" spans="2:10" ht="26" x14ac:dyDescent="0.2">
      <c r="C148" s="33"/>
      <c r="D148" s="13"/>
      <c r="E148" s="13"/>
      <c r="F148" s="35"/>
    </row>
    <row r="149" spans="2:10" ht="22" x14ac:dyDescent="0.15">
      <c r="B149" s="52" t="s">
        <v>122</v>
      </c>
      <c r="C149" s="15" t="s">
        <v>9</v>
      </c>
      <c r="D149" s="16" t="s">
        <v>10</v>
      </c>
      <c r="E149" s="16" t="s">
        <v>11</v>
      </c>
      <c r="F149" s="17" t="s">
        <v>12</v>
      </c>
      <c r="G149" s="16" t="str">
        <f>IF(D4 = "kg", "Load (kg)", "Load (lbs)")</f>
        <v>Load (lbs)</v>
      </c>
      <c r="H149" s="17" t="s">
        <v>13</v>
      </c>
      <c r="I149" s="17" t="s">
        <v>14</v>
      </c>
      <c r="J149" s="18" t="s">
        <v>15</v>
      </c>
    </row>
    <row r="150" spans="2:10" ht="81" x14ac:dyDescent="0.15">
      <c r="B150" s="50"/>
      <c r="C150" s="47" t="s">
        <v>16</v>
      </c>
      <c r="D150" s="13" t="s">
        <v>75</v>
      </c>
      <c r="E150" s="13">
        <v>5</v>
      </c>
      <c r="F150" s="13">
        <v>3</v>
      </c>
      <c r="G150" s="13">
        <f>IF(D4="kg",MROUND(G8*0.825,2.5),MROUND(G8*0.825,5))</f>
        <v>375</v>
      </c>
      <c r="H150" s="36">
        <v>0.82499999999999996</v>
      </c>
      <c r="I150" s="21" t="s">
        <v>18</v>
      </c>
      <c r="J150" s="13" t="s">
        <v>76</v>
      </c>
    </row>
    <row r="151" spans="2:10" ht="81" x14ac:dyDescent="0.15">
      <c r="B151" s="50"/>
      <c r="C151" s="42"/>
      <c r="D151" s="13" t="s">
        <v>130</v>
      </c>
      <c r="E151" s="13">
        <v>2</v>
      </c>
      <c r="F151" s="13">
        <v>6</v>
      </c>
      <c r="G151" s="13">
        <f>IF(D4="kg",MROUND(E8*0.65,2.5),MROUND(E8*0.65,5))</f>
        <v>230</v>
      </c>
      <c r="H151" s="20">
        <v>0.65</v>
      </c>
      <c r="I151" s="21" t="s">
        <v>18</v>
      </c>
      <c r="J151" s="13" t="s">
        <v>131</v>
      </c>
    </row>
    <row r="152" spans="2:10" ht="54" x14ac:dyDescent="0.15">
      <c r="B152" s="50"/>
      <c r="C152" s="42"/>
      <c r="D152" s="13" t="s">
        <v>132</v>
      </c>
      <c r="E152" s="13">
        <v>2</v>
      </c>
      <c r="F152" s="13">
        <v>20</v>
      </c>
      <c r="G152" s="13"/>
      <c r="H152" s="13">
        <v>8</v>
      </c>
      <c r="I152" s="21" t="s">
        <v>29</v>
      </c>
      <c r="J152" s="13" t="s">
        <v>133</v>
      </c>
    </row>
    <row r="153" spans="2:10" ht="27" x14ac:dyDescent="0.15">
      <c r="B153" s="50"/>
      <c r="C153" s="42"/>
      <c r="D153" s="13" t="s">
        <v>134</v>
      </c>
      <c r="E153" s="13">
        <v>2</v>
      </c>
      <c r="F153" s="13">
        <v>15</v>
      </c>
      <c r="G153" s="13"/>
      <c r="H153" s="13">
        <v>9</v>
      </c>
      <c r="I153" s="21" t="s">
        <v>29</v>
      </c>
      <c r="J153" s="13" t="s">
        <v>135</v>
      </c>
    </row>
    <row r="154" spans="2:10" ht="54" x14ac:dyDescent="0.15">
      <c r="B154" s="50"/>
      <c r="C154" s="42"/>
      <c r="D154" s="13" t="s">
        <v>136</v>
      </c>
      <c r="E154" s="13">
        <v>2</v>
      </c>
      <c r="F154" s="13">
        <v>12</v>
      </c>
      <c r="G154" s="13"/>
      <c r="H154" s="13">
        <v>9</v>
      </c>
      <c r="I154" s="21" t="s">
        <v>29</v>
      </c>
      <c r="J154" s="13" t="s">
        <v>137</v>
      </c>
    </row>
    <row r="155" spans="2:10" ht="54" x14ac:dyDescent="0.15">
      <c r="B155" s="50"/>
      <c r="C155" s="42"/>
      <c r="D155" s="13" t="s">
        <v>138</v>
      </c>
      <c r="E155" s="13">
        <v>2</v>
      </c>
      <c r="F155" s="13">
        <v>12</v>
      </c>
      <c r="G155" s="13"/>
      <c r="H155" s="13">
        <v>9</v>
      </c>
      <c r="I155" s="21" t="s">
        <v>29</v>
      </c>
      <c r="J155" s="13" t="s">
        <v>137</v>
      </c>
    </row>
    <row r="156" spans="2:10" ht="54" x14ac:dyDescent="0.15">
      <c r="B156" s="50"/>
      <c r="C156" s="42"/>
      <c r="D156" s="13" t="s">
        <v>139</v>
      </c>
      <c r="E156" s="13">
        <v>2</v>
      </c>
      <c r="F156" s="13">
        <v>15</v>
      </c>
      <c r="G156" s="13"/>
      <c r="H156" s="13">
        <v>8</v>
      </c>
      <c r="I156" s="21" t="s">
        <v>29</v>
      </c>
      <c r="J156" s="13" t="s">
        <v>140</v>
      </c>
    </row>
    <row r="157" spans="2:10" ht="81" x14ac:dyDescent="0.15">
      <c r="B157" s="50"/>
      <c r="C157" s="48"/>
      <c r="D157" s="13" t="s">
        <v>141</v>
      </c>
      <c r="E157" s="13">
        <v>3</v>
      </c>
      <c r="F157" s="13">
        <v>8</v>
      </c>
      <c r="G157" s="13"/>
      <c r="H157" s="13">
        <v>8</v>
      </c>
      <c r="I157" s="21" t="s">
        <v>29</v>
      </c>
      <c r="J157" s="13" t="s">
        <v>142</v>
      </c>
    </row>
    <row r="158" spans="2:10" ht="54" x14ac:dyDescent="0.15">
      <c r="B158" s="50"/>
      <c r="C158" s="41" t="s">
        <v>38</v>
      </c>
      <c r="D158" s="24" t="s">
        <v>39</v>
      </c>
      <c r="E158" s="24">
        <v>2</v>
      </c>
      <c r="F158" s="24">
        <v>10</v>
      </c>
      <c r="G158" s="24">
        <f>IF(D4="kg",MROUND(F8*0.75,2.5),MROUND(F8*0.75,5))</f>
        <v>200</v>
      </c>
      <c r="H158" s="26">
        <v>0.75</v>
      </c>
      <c r="I158" s="27" t="s">
        <v>25</v>
      </c>
      <c r="J158" s="24" t="s">
        <v>40</v>
      </c>
    </row>
    <row r="159" spans="2:10" ht="54" x14ac:dyDescent="0.15">
      <c r="B159" s="50"/>
      <c r="C159" s="42"/>
      <c r="D159" s="13" t="s">
        <v>143</v>
      </c>
      <c r="E159" s="13">
        <v>2</v>
      </c>
      <c r="F159" s="13">
        <v>12</v>
      </c>
      <c r="G159" s="13"/>
      <c r="H159" s="13">
        <v>9</v>
      </c>
      <c r="I159" s="21" t="s">
        <v>29</v>
      </c>
      <c r="J159" s="13" t="s">
        <v>144</v>
      </c>
    </row>
    <row r="160" spans="2:10" ht="27" x14ac:dyDescent="0.15">
      <c r="B160" s="50"/>
      <c r="C160" s="42"/>
      <c r="D160" s="13" t="s">
        <v>145</v>
      </c>
      <c r="E160" s="13">
        <v>2</v>
      </c>
      <c r="F160" s="13">
        <v>15</v>
      </c>
      <c r="G160" s="13"/>
      <c r="H160" s="13">
        <v>9</v>
      </c>
      <c r="I160" s="21" t="s">
        <v>29</v>
      </c>
      <c r="J160" s="13" t="s">
        <v>90</v>
      </c>
    </row>
    <row r="161" spans="2:10" ht="108" x14ac:dyDescent="0.15">
      <c r="B161" s="50"/>
      <c r="C161" s="42"/>
      <c r="D161" s="13" t="s">
        <v>46</v>
      </c>
      <c r="E161" s="13">
        <v>2</v>
      </c>
      <c r="F161" s="22" t="s">
        <v>57</v>
      </c>
      <c r="G161" s="13"/>
      <c r="H161" s="13">
        <v>10</v>
      </c>
      <c r="I161" s="21" t="s">
        <v>29</v>
      </c>
      <c r="J161" s="13" t="s">
        <v>48</v>
      </c>
    </row>
    <row r="162" spans="2:10" ht="81" x14ac:dyDescent="0.15">
      <c r="B162" s="50"/>
      <c r="C162" s="42"/>
      <c r="D162" s="13" t="s">
        <v>146</v>
      </c>
      <c r="E162" s="13">
        <v>2</v>
      </c>
      <c r="F162" s="13" t="s">
        <v>21</v>
      </c>
      <c r="G162" s="13"/>
      <c r="H162" s="13">
        <v>9</v>
      </c>
      <c r="I162" s="21" t="s">
        <v>29</v>
      </c>
      <c r="J162" s="13" t="s">
        <v>147</v>
      </c>
    </row>
    <row r="163" spans="2:10" ht="54" x14ac:dyDescent="0.15">
      <c r="B163" s="50"/>
      <c r="C163" s="42"/>
      <c r="D163" s="13" t="s">
        <v>148</v>
      </c>
      <c r="E163" s="13">
        <v>2</v>
      </c>
      <c r="F163" s="13" t="s">
        <v>47</v>
      </c>
      <c r="G163" s="13"/>
      <c r="H163" s="13">
        <v>8</v>
      </c>
      <c r="I163" s="21" t="s">
        <v>29</v>
      </c>
      <c r="J163" s="13" t="s">
        <v>149</v>
      </c>
    </row>
    <row r="164" spans="2:10" ht="54" x14ac:dyDescent="0.15">
      <c r="B164" s="50"/>
      <c r="C164" s="42"/>
      <c r="D164" s="13" t="s">
        <v>150</v>
      </c>
      <c r="E164" s="13">
        <v>2</v>
      </c>
      <c r="F164" s="13" t="s">
        <v>47</v>
      </c>
      <c r="G164" s="13"/>
      <c r="H164" s="13">
        <v>9</v>
      </c>
      <c r="I164" s="21" t="s">
        <v>29</v>
      </c>
      <c r="J164" s="13" t="s">
        <v>151</v>
      </c>
    </row>
    <row r="165" spans="2:10" ht="27" x14ac:dyDescent="0.15">
      <c r="B165" s="50"/>
      <c r="C165" s="43"/>
      <c r="D165" s="28" t="s">
        <v>152</v>
      </c>
      <c r="E165" s="28">
        <v>3</v>
      </c>
      <c r="F165" s="28">
        <v>6</v>
      </c>
      <c r="G165" s="28"/>
      <c r="H165" s="28">
        <v>7</v>
      </c>
      <c r="I165" s="30" t="s">
        <v>29</v>
      </c>
      <c r="J165" s="28" t="s">
        <v>153</v>
      </c>
    </row>
    <row r="166" spans="2:10" ht="54" x14ac:dyDescent="0.15">
      <c r="B166" s="50"/>
      <c r="C166" s="47" t="s">
        <v>55</v>
      </c>
      <c r="D166" s="13" t="s">
        <v>56</v>
      </c>
      <c r="E166" s="13">
        <v>2</v>
      </c>
      <c r="F166" s="22" t="s">
        <v>57</v>
      </c>
      <c r="G166" s="13"/>
      <c r="H166" s="13">
        <v>5</v>
      </c>
      <c r="I166" s="21" t="s">
        <v>29</v>
      </c>
      <c r="J166" s="13" t="s">
        <v>58</v>
      </c>
    </row>
    <row r="167" spans="2:10" ht="27" x14ac:dyDescent="0.15">
      <c r="B167" s="50"/>
      <c r="C167" s="42"/>
      <c r="D167" s="13" t="s">
        <v>59</v>
      </c>
      <c r="E167" s="13">
        <v>3</v>
      </c>
      <c r="F167" s="13">
        <v>12</v>
      </c>
      <c r="G167" s="13"/>
      <c r="H167" s="13">
        <v>9</v>
      </c>
      <c r="I167" s="21" t="s">
        <v>25</v>
      </c>
      <c r="J167" s="13" t="s">
        <v>154</v>
      </c>
    </row>
    <row r="168" spans="2:10" ht="54" x14ac:dyDescent="0.15">
      <c r="B168" s="50"/>
      <c r="C168" s="42"/>
      <c r="D168" s="13" t="s">
        <v>155</v>
      </c>
      <c r="E168" s="13">
        <v>3</v>
      </c>
      <c r="F168" s="22" t="s">
        <v>60</v>
      </c>
      <c r="G168" s="13"/>
      <c r="H168" s="13">
        <v>9</v>
      </c>
      <c r="I168" s="21" t="s">
        <v>29</v>
      </c>
      <c r="J168" s="13" t="s">
        <v>156</v>
      </c>
    </row>
    <row r="169" spans="2:10" ht="54" x14ac:dyDescent="0.15">
      <c r="B169" s="50"/>
      <c r="C169" s="42"/>
      <c r="D169" s="13" t="s">
        <v>157</v>
      </c>
      <c r="E169" s="13">
        <v>3</v>
      </c>
      <c r="F169" s="22" t="s">
        <v>24</v>
      </c>
      <c r="G169" s="13"/>
      <c r="H169" s="13">
        <v>9</v>
      </c>
      <c r="I169" s="21" t="s">
        <v>29</v>
      </c>
      <c r="J169" s="13" t="s">
        <v>158</v>
      </c>
    </row>
    <row r="170" spans="2:10" ht="54" x14ac:dyDescent="0.15">
      <c r="B170" s="50"/>
      <c r="C170" s="42"/>
      <c r="D170" s="13" t="s">
        <v>115</v>
      </c>
      <c r="E170" s="13">
        <v>3</v>
      </c>
      <c r="F170" s="13" t="s">
        <v>47</v>
      </c>
      <c r="G170" s="13"/>
      <c r="H170" s="13">
        <v>9</v>
      </c>
      <c r="I170" s="21" t="s">
        <v>29</v>
      </c>
      <c r="J170" s="13" t="s">
        <v>159</v>
      </c>
    </row>
    <row r="171" spans="2:10" ht="54" x14ac:dyDescent="0.15">
      <c r="B171" s="50"/>
      <c r="C171" s="42"/>
      <c r="D171" s="13" t="s">
        <v>160</v>
      </c>
      <c r="E171" s="13">
        <v>3</v>
      </c>
      <c r="F171" s="13">
        <v>20</v>
      </c>
      <c r="G171" s="13"/>
      <c r="H171" s="13">
        <v>9</v>
      </c>
      <c r="I171" s="21" t="s">
        <v>29</v>
      </c>
      <c r="J171" s="13" t="s">
        <v>198</v>
      </c>
    </row>
    <row r="172" spans="2:10" ht="54" x14ac:dyDescent="0.15">
      <c r="B172" s="50"/>
      <c r="C172" s="42"/>
      <c r="D172" s="13" t="s">
        <v>162</v>
      </c>
      <c r="E172" s="13">
        <v>3</v>
      </c>
      <c r="F172" s="13" t="s">
        <v>47</v>
      </c>
      <c r="G172" s="13"/>
      <c r="H172" s="13">
        <v>9</v>
      </c>
      <c r="I172" s="21" t="s">
        <v>29</v>
      </c>
      <c r="J172" s="13" t="s">
        <v>163</v>
      </c>
    </row>
    <row r="173" spans="2:10" ht="54" x14ac:dyDescent="0.15">
      <c r="B173" s="50"/>
      <c r="C173" s="48"/>
      <c r="D173" s="13" t="s">
        <v>164</v>
      </c>
      <c r="E173" s="13">
        <v>3</v>
      </c>
      <c r="F173" s="13" t="s">
        <v>57</v>
      </c>
      <c r="G173" s="13"/>
      <c r="H173" s="13">
        <v>8</v>
      </c>
      <c r="I173" s="21" t="s">
        <v>29</v>
      </c>
      <c r="J173" s="13" t="s">
        <v>165</v>
      </c>
    </row>
    <row r="174" spans="2:10" ht="54" x14ac:dyDescent="0.15">
      <c r="B174" s="50"/>
      <c r="C174" s="41" t="s">
        <v>74</v>
      </c>
      <c r="D174" s="24" t="s">
        <v>17</v>
      </c>
      <c r="E174" s="24">
        <v>4</v>
      </c>
      <c r="F174" s="24">
        <v>5</v>
      </c>
      <c r="G174" s="24">
        <f>IF(D4="kg",MROUND(E8*0.775,2.5),MROUND(E8*0.775,5))</f>
        <v>275</v>
      </c>
      <c r="H174" s="31">
        <v>0.77500000000000002</v>
      </c>
      <c r="I174" s="27" t="s">
        <v>18</v>
      </c>
      <c r="J174" s="24" t="s">
        <v>19</v>
      </c>
    </row>
    <row r="175" spans="2:10" ht="54" x14ac:dyDescent="0.15">
      <c r="B175" s="50"/>
      <c r="C175" s="42"/>
      <c r="D175" s="13" t="s">
        <v>20</v>
      </c>
      <c r="E175" s="13">
        <v>3</v>
      </c>
      <c r="F175" s="22" t="s">
        <v>24</v>
      </c>
      <c r="G175" s="13"/>
      <c r="H175" s="22">
        <v>8</v>
      </c>
      <c r="I175" s="21" t="s">
        <v>25</v>
      </c>
      <c r="J175" s="13" t="s">
        <v>22</v>
      </c>
    </row>
    <row r="176" spans="2:10" ht="54" x14ac:dyDescent="0.15">
      <c r="B176" s="50"/>
      <c r="C176" s="42"/>
      <c r="D176" s="13" t="s">
        <v>166</v>
      </c>
      <c r="E176" s="13">
        <v>2</v>
      </c>
      <c r="F176" s="13">
        <v>10</v>
      </c>
      <c r="G176" s="13"/>
      <c r="H176" s="13">
        <v>9</v>
      </c>
      <c r="I176" s="21" t="s">
        <v>25</v>
      </c>
      <c r="J176" s="13" t="s">
        <v>167</v>
      </c>
    </row>
    <row r="177" spans="2:10" ht="54" x14ac:dyDescent="0.15">
      <c r="B177" s="50"/>
      <c r="C177" s="42"/>
      <c r="D177" s="13" t="s">
        <v>168</v>
      </c>
      <c r="E177" s="13">
        <v>2</v>
      </c>
      <c r="F177" s="13">
        <v>12</v>
      </c>
      <c r="G177" s="13"/>
      <c r="H177" s="13">
        <v>8</v>
      </c>
      <c r="I177" s="21" t="s">
        <v>29</v>
      </c>
      <c r="J177" s="13" t="s">
        <v>169</v>
      </c>
    </row>
    <row r="178" spans="2:10" ht="54" x14ac:dyDescent="0.15">
      <c r="B178" s="50"/>
      <c r="C178" s="42"/>
      <c r="D178" s="13" t="s">
        <v>170</v>
      </c>
      <c r="E178" s="13">
        <v>2</v>
      </c>
      <c r="F178" s="13">
        <v>15</v>
      </c>
      <c r="G178" s="13"/>
      <c r="H178" s="13">
        <v>9</v>
      </c>
      <c r="I178" s="21" t="s">
        <v>29</v>
      </c>
      <c r="J178" s="13" t="s">
        <v>35</v>
      </c>
    </row>
    <row r="179" spans="2:10" ht="54" x14ac:dyDescent="0.15">
      <c r="B179" s="50"/>
      <c r="C179" s="42"/>
      <c r="D179" s="13" t="s">
        <v>171</v>
      </c>
      <c r="E179" s="13">
        <v>2</v>
      </c>
      <c r="F179" s="13">
        <v>20</v>
      </c>
      <c r="G179" s="13"/>
      <c r="H179" s="13">
        <v>8</v>
      </c>
      <c r="I179" s="21" t="s">
        <v>29</v>
      </c>
      <c r="J179" s="13" t="s">
        <v>172</v>
      </c>
    </row>
    <row r="180" spans="2:10" ht="54" x14ac:dyDescent="0.15">
      <c r="B180" s="50"/>
      <c r="C180" s="43"/>
      <c r="D180" s="28" t="s">
        <v>36</v>
      </c>
      <c r="E180" s="28">
        <v>3</v>
      </c>
      <c r="F180" s="28">
        <v>12</v>
      </c>
      <c r="G180" s="28"/>
      <c r="H180" s="28">
        <v>8</v>
      </c>
      <c r="I180" s="30" t="s">
        <v>29</v>
      </c>
      <c r="J180" s="28" t="s">
        <v>173</v>
      </c>
    </row>
    <row r="181" spans="2:10" ht="54" x14ac:dyDescent="0.15">
      <c r="B181" s="50"/>
      <c r="C181" s="44" t="s">
        <v>87</v>
      </c>
      <c r="D181" s="13" t="s">
        <v>39</v>
      </c>
      <c r="E181" s="13">
        <v>4</v>
      </c>
      <c r="F181" s="13">
        <v>5</v>
      </c>
      <c r="G181" s="13">
        <f>IF(D4="kg",MROUND(F8*0.775,2.5),MROUND(F8*0.775,5))</f>
        <v>205</v>
      </c>
      <c r="H181" s="36">
        <v>0.77500000000000002</v>
      </c>
      <c r="I181" s="21" t="s">
        <v>25</v>
      </c>
      <c r="J181" s="13" t="s">
        <v>174</v>
      </c>
    </row>
    <row r="182" spans="2:10" ht="54" x14ac:dyDescent="0.15">
      <c r="B182" s="50"/>
      <c r="C182" s="45"/>
      <c r="D182" s="13" t="s">
        <v>175</v>
      </c>
      <c r="E182" s="13">
        <v>3</v>
      </c>
      <c r="F182" s="13" t="s">
        <v>176</v>
      </c>
      <c r="G182" s="13">
        <f>IF(D4="kg",MROUND(H8*0.775,2.5),MROUND(H8*0.775,5))</f>
        <v>130</v>
      </c>
      <c r="H182" s="36">
        <v>0.77500000000000002</v>
      </c>
      <c r="I182" s="21" t="s">
        <v>25</v>
      </c>
      <c r="J182" s="13" t="s">
        <v>177</v>
      </c>
    </row>
    <row r="183" spans="2:10" ht="54" x14ac:dyDescent="0.15">
      <c r="B183" s="50"/>
      <c r="C183" s="45"/>
      <c r="D183" s="13" t="s">
        <v>178</v>
      </c>
      <c r="E183" s="13">
        <v>3</v>
      </c>
      <c r="F183" s="22" t="s">
        <v>179</v>
      </c>
      <c r="G183" s="13"/>
      <c r="H183" s="13">
        <v>8</v>
      </c>
      <c r="I183" s="21" t="s">
        <v>29</v>
      </c>
      <c r="J183" s="13" t="s">
        <v>180</v>
      </c>
    </row>
    <row r="184" spans="2:10" ht="54" x14ac:dyDescent="0.15">
      <c r="B184" s="50"/>
      <c r="C184" s="45"/>
      <c r="D184" s="13" t="s">
        <v>181</v>
      </c>
      <c r="E184" s="13">
        <v>3</v>
      </c>
      <c r="F184" s="13" t="s">
        <v>47</v>
      </c>
      <c r="G184" s="13"/>
      <c r="H184" s="13">
        <v>9</v>
      </c>
      <c r="I184" s="21" t="s">
        <v>29</v>
      </c>
      <c r="J184" s="13" t="s">
        <v>182</v>
      </c>
    </row>
    <row r="185" spans="2:10" ht="54" x14ac:dyDescent="0.15">
      <c r="B185" s="50"/>
      <c r="C185" s="45"/>
      <c r="D185" s="13" t="s">
        <v>183</v>
      </c>
      <c r="E185" s="13">
        <v>3</v>
      </c>
      <c r="F185" s="13" t="s">
        <v>57</v>
      </c>
      <c r="G185" s="13"/>
      <c r="H185" s="13">
        <v>9</v>
      </c>
      <c r="I185" s="21" t="s">
        <v>29</v>
      </c>
      <c r="J185" s="13" t="s">
        <v>98</v>
      </c>
    </row>
    <row r="186" spans="2:10" ht="54" x14ac:dyDescent="0.15">
      <c r="B186" s="50"/>
      <c r="C186" s="46"/>
      <c r="D186" s="13" t="s">
        <v>184</v>
      </c>
      <c r="E186" s="13">
        <v>3</v>
      </c>
      <c r="F186" s="13" t="s">
        <v>185</v>
      </c>
      <c r="G186" s="13"/>
      <c r="H186" s="13">
        <v>7</v>
      </c>
      <c r="I186" s="21" t="s">
        <v>29</v>
      </c>
      <c r="J186" s="13" t="s">
        <v>186</v>
      </c>
    </row>
    <row r="187" spans="2:10" ht="54" x14ac:dyDescent="0.15">
      <c r="B187" s="50"/>
      <c r="C187" s="41" t="s">
        <v>103</v>
      </c>
      <c r="D187" s="24" t="s">
        <v>187</v>
      </c>
      <c r="E187" s="24">
        <v>3</v>
      </c>
      <c r="F187" s="24">
        <v>12</v>
      </c>
      <c r="G187" s="24"/>
      <c r="H187" s="24">
        <v>9</v>
      </c>
      <c r="I187" s="27" t="s">
        <v>25</v>
      </c>
      <c r="J187" s="24" t="s">
        <v>188</v>
      </c>
    </row>
    <row r="188" spans="2:10" ht="54" x14ac:dyDescent="0.15">
      <c r="B188" s="50"/>
      <c r="C188" s="42"/>
      <c r="D188" s="13" t="s">
        <v>189</v>
      </c>
      <c r="E188" s="13">
        <v>3</v>
      </c>
      <c r="F188" s="13" t="s">
        <v>21</v>
      </c>
      <c r="G188" s="13"/>
      <c r="H188" s="13">
        <v>8</v>
      </c>
      <c r="I188" s="21" t="s">
        <v>25</v>
      </c>
      <c r="J188" s="13" t="s">
        <v>190</v>
      </c>
    </row>
    <row r="189" spans="2:10" ht="54" x14ac:dyDescent="0.15">
      <c r="B189" s="50"/>
      <c r="C189" s="42"/>
      <c r="D189" s="13" t="s">
        <v>110</v>
      </c>
      <c r="E189" s="13">
        <v>3</v>
      </c>
      <c r="F189" s="13" t="s">
        <v>57</v>
      </c>
      <c r="G189" s="13"/>
      <c r="H189" s="13">
        <v>9</v>
      </c>
      <c r="I189" s="21" t="s">
        <v>29</v>
      </c>
      <c r="J189" s="13" t="s">
        <v>111</v>
      </c>
    </row>
    <row r="190" spans="2:10" ht="54" x14ac:dyDescent="0.15">
      <c r="B190" s="50"/>
      <c r="C190" s="42"/>
      <c r="D190" s="13" t="s">
        <v>191</v>
      </c>
      <c r="E190" s="13">
        <v>3</v>
      </c>
      <c r="F190" s="13">
        <v>15</v>
      </c>
      <c r="G190" s="13"/>
      <c r="H190" s="13">
        <v>9</v>
      </c>
      <c r="I190" s="21" t="s">
        <v>29</v>
      </c>
      <c r="J190" s="13" t="s">
        <v>192</v>
      </c>
    </row>
    <row r="191" spans="2:10" ht="54" x14ac:dyDescent="0.15">
      <c r="B191" s="50"/>
      <c r="C191" s="42"/>
      <c r="D191" s="13" t="s">
        <v>193</v>
      </c>
      <c r="E191" s="13">
        <v>4</v>
      </c>
      <c r="F191" s="13">
        <v>8</v>
      </c>
      <c r="G191" s="13"/>
      <c r="H191" s="13">
        <v>10</v>
      </c>
      <c r="I191" s="21" t="s">
        <v>32</v>
      </c>
      <c r="J191" s="13" t="s">
        <v>194</v>
      </c>
    </row>
    <row r="192" spans="2:10" ht="54" x14ac:dyDescent="0.15">
      <c r="B192" s="50"/>
      <c r="C192" s="42"/>
      <c r="D192" s="13" t="s">
        <v>195</v>
      </c>
      <c r="E192" s="13">
        <v>4</v>
      </c>
      <c r="F192" s="13">
        <v>8</v>
      </c>
      <c r="G192" s="13"/>
      <c r="H192" s="13">
        <v>10</v>
      </c>
      <c r="I192" s="21" t="s">
        <v>32</v>
      </c>
      <c r="J192" s="13" t="s">
        <v>194</v>
      </c>
    </row>
    <row r="193" spans="2:10" ht="54" x14ac:dyDescent="0.15">
      <c r="B193" s="51"/>
      <c r="C193" s="43"/>
      <c r="D193" s="28" t="s">
        <v>196</v>
      </c>
      <c r="E193" s="28">
        <v>4</v>
      </c>
      <c r="F193" s="28">
        <v>8</v>
      </c>
      <c r="G193" s="28"/>
      <c r="H193" s="28">
        <v>10</v>
      </c>
      <c r="I193" s="30" t="s">
        <v>29</v>
      </c>
      <c r="J193" s="28" t="s">
        <v>197</v>
      </c>
    </row>
    <row r="194" spans="2:10" ht="26" x14ac:dyDescent="0.2">
      <c r="C194" s="33"/>
      <c r="D194" s="13"/>
      <c r="E194" s="34"/>
      <c r="F194" s="35"/>
    </row>
    <row r="195" spans="2:10" ht="22" x14ac:dyDescent="0.15">
      <c r="B195" s="49" t="s">
        <v>123</v>
      </c>
      <c r="C195" s="15" t="s">
        <v>9</v>
      </c>
      <c r="D195" s="16" t="s">
        <v>10</v>
      </c>
      <c r="E195" s="16" t="s">
        <v>11</v>
      </c>
      <c r="F195" s="17" t="s">
        <v>12</v>
      </c>
      <c r="G195" s="16" t="str">
        <f>IF(D4 = "kg", "Load (kg)", "Load (lbs)")</f>
        <v>Load (lbs)</v>
      </c>
      <c r="H195" s="17" t="s">
        <v>13</v>
      </c>
      <c r="I195" s="17" t="s">
        <v>14</v>
      </c>
      <c r="J195" s="18" t="s">
        <v>15</v>
      </c>
    </row>
    <row r="196" spans="2:10" ht="81" x14ac:dyDescent="0.15">
      <c r="B196" s="50"/>
      <c r="C196" s="47" t="s">
        <v>16</v>
      </c>
      <c r="D196" s="13" t="s">
        <v>75</v>
      </c>
      <c r="E196" s="13">
        <v>5</v>
      </c>
      <c r="F196" s="13">
        <v>3</v>
      </c>
      <c r="G196" s="13">
        <f>IF(D4="kg",MROUND(G8*0.825,2.5),MROUND(G8*0.825,5))</f>
        <v>375</v>
      </c>
      <c r="H196" s="36">
        <v>0.82499999999999996</v>
      </c>
      <c r="I196" s="21" t="s">
        <v>18</v>
      </c>
      <c r="J196" s="13" t="s">
        <v>76</v>
      </c>
    </row>
    <row r="197" spans="2:10" ht="81" x14ac:dyDescent="0.15">
      <c r="B197" s="50"/>
      <c r="C197" s="42"/>
      <c r="D197" s="13" t="s">
        <v>130</v>
      </c>
      <c r="E197" s="13">
        <v>2</v>
      </c>
      <c r="F197" s="13">
        <v>6</v>
      </c>
      <c r="G197" s="13">
        <f>IF(D4="kg",MROUND(E8*0.675,2.5),MROUND(E8*0.675,5))</f>
        <v>240</v>
      </c>
      <c r="H197" s="36">
        <v>0.67500000000000004</v>
      </c>
      <c r="I197" s="21" t="s">
        <v>18</v>
      </c>
      <c r="J197" s="13" t="s">
        <v>131</v>
      </c>
    </row>
    <row r="198" spans="2:10" ht="54" x14ac:dyDescent="0.15">
      <c r="B198" s="50"/>
      <c r="C198" s="42"/>
      <c r="D198" s="13" t="s">
        <v>132</v>
      </c>
      <c r="E198" s="13">
        <v>2</v>
      </c>
      <c r="F198" s="13">
        <v>20</v>
      </c>
      <c r="G198" s="13"/>
      <c r="H198" s="13">
        <v>8</v>
      </c>
      <c r="I198" s="21" t="s">
        <v>29</v>
      </c>
      <c r="J198" s="13" t="s">
        <v>133</v>
      </c>
    </row>
    <row r="199" spans="2:10" ht="27" x14ac:dyDescent="0.15">
      <c r="B199" s="50"/>
      <c r="C199" s="42"/>
      <c r="D199" s="13" t="s">
        <v>134</v>
      </c>
      <c r="E199" s="13">
        <v>2</v>
      </c>
      <c r="F199" s="13">
        <v>15</v>
      </c>
      <c r="G199" s="13"/>
      <c r="H199" s="13">
        <v>9</v>
      </c>
      <c r="I199" s="21" t="s">
        <v>29</v>
      </c>
      <c r="J199" s="13" t="s">
        <v>135</v>
      </c>
    </row>
    <row r="200" spans="2:10" ht="54" x14ac:dyDescent="0.15">
      <c r="B200" s="50"/>
      <c r="C200" s="42"/>
      <c r="D200" s="13" t="s">
        <v>136</v>
      </c>
      <c r="E200" s="13">
        <v>2</v>
      </c>
      <c r="F200" s="13">
        <v>12</v>
      </c>
      <c r="G200" s="13"/>
      <c r="H200" s="13">
        <v>9</v>
      </c>
      <c r="I200" s="21" t="s">
        <v>29</v>
      </c>
      <c r="J200" s="13" t="s">
        <v>137</v>
      </c>
    </row>
    <row r="201" spans="2:10" ht="54" x14ac:dyDescent="0.15">
      <c r="B201" s="50"/>
      <c r="C201" s="42"/>
      <c r="D201" s="13" t="s">
        <v>138</v>
      </c>
      <c r="E201" s="13">
        <v>2</v>
      </c>
      <c r="F201" s="13">
        <v>12</v>
      </c>
      <c r="G201" s="13"/>
      <c r="H201" s="13">
        <v>9</v>
      </c>
      <c r="I201" s="21" t="s">
        <v>29</v>
      </c>
      <c r="J201" s="13" t="s">
        <v>137</v>
      </c>
    </row>
    <row r="202" spans="2:10" ht="54" x14ac:dyDescent="0.15">
      <c r="B202" s="50"/>
      <c r="C202" s="42"/>
      <c r="D202" s="13" t="s">
        <v>139</v>
      </c>
      <c r="E202" s="13">
        <v>2</v>
      </c>
      <c r="F202" s="13">
        <v>15</v>
      </c>
      <c r="G202" s="13"/>
      <c r="H202" s="13">
        <v>8</v>
      </c>
      <c r="I202" s="21" t="s">
        <v>29</v>
      </c>
      <c r="J202" s="13" t="s">
        <v>140</v>
      </c>
    </row>
    <row r="203" spans="2:10" ht="81" x14ac:dyDescent="0.15">
      <c r="B203" s="50"/>
      <c r="C203" s="48"/>
      <c r="D203" s="13" t="s">
        <v>141</v>
      </c>
      <c r="E203" s="13">
        <v>3</v>
      </c>
      <c r="F203" s="13">
        <v>8</v>
      </c>
      <c r="G203" s="13"/>
      <c r="H203" s="13">
        <v>8</v>
      </c>
      <c r="I203" s="21" t="s">
        <v>29</v>
      </c>
      <c r="J203" s="13" t="s">
        <v>142</v>
      </c>
    </row>
    <row r="204" spans="2:10" ht="54" x14ac:dyDescent="0.15">
      <c r="B204" s="50"/>
      <c r="C204" s="41" t="s">
        <v>38</v>
      </c>
      <c r="D204" s="24" t="s">
        <v>39</v>
      </c>
      <c r="E204" s="24">
        <v>2</v>
      </c>
      <c r="F204" s="24">
        <v>8</v>
      </c>
      <c r="G204" s="24">
        <f>IF(D4="kg",MROUND(F8*0.775,2.5),MROUND(F8*0.775,5))</f>
        <v>205</v>
      </c>
      <c r="H204" s="31">
        <v>0.77500000000000002</v>
      </c>
      <c r="I204" s="27" t="s">
        <v>25</v>
      </c>
      <c r="J204" s="24" t="s">
        <v>40</v>
      </c>
    </row>
    <row r="205" spans="2:10" ht="54" x14ac:dyDescent="0.15">
      <c r="B205" s="50"/>
      <c r="C205" s="42"/>
      <c r="D205" s="13" t="s">
        <v>143</v>
      </c>
      <c r="E205" s="13">
        <v>2</v>
      </c>
      <c r="F205" s="13">
        <v>12</v>
      </c>
      <c r="G205" s="13"/>
      <c r="H205" s="13">
        <v>9</v>
      </c>
      <c r="I205" s="21" t="s">
        <v>29</v>
      </c>
      <c r="J205" s="13" t="s">
        <v>144</v>
      </c>
    </row>
    <row r="206" spans="2:10" ht="27" x14ac:dyDescent="0.15">
      <c r="B206" s="50"/>
      <c r="C206" s="42"/>
      <c r="D206" s="13" t="s">
        <v>145</v>
      </c>
      <c r="E206" s="13">
        <v>2</v>
      </c>
      <c r="F206" s="13">
        <v>15</v>
      </c>
      <c r="G206" s="13"/>
      <c r="H206" s="13">
        <v>9</v>
      </c>
      <c r="I206" s="21" t="s">
        <v>29</v>
      </c>
      <c r="J206" s="13" t="s">
        <v>90</v>
      </c>
    </row>
    <row r="207" spans="2:10" ht="108" x14ac:dyDescent="0.15">
      <c r="B207" s="50"/>
      <c r="C207" s="42"/>
      <c r="D207" s="13" t="s">
        <v>46</v>
      </c>
      <c r="E207" s="13">
        <v>2</v>
      </c>
      <c r="F207" s="22" t="s">
        <v>57</v>
      </c>
      <c r="G207" s="13"/>
      <c r="H207" s="13">
        <v>10</v>
      </c>
      <c r="I207" s="21" t="s">
        <v>29</v>
      </c>
      <c r="J207" s="13" t="s">
        <v>48</v>
      </c>
    </row>
    <row r="208" spans="2:10" ht="81" x14ac:dyDescent="0.15">
      <c r="B208" s="50"/>
      <c r="C208" s="42"/>
      <c r="D208" s="13" t="s">
        <v>146</v>
      </c>
      <c r="E208" s="13">
        <v>2</v>
      </c>
      <c r="F208" s="13" t="s">
        <v>21</v>
      </c>
      <c r="G208" s="13"/>
      <c r="H208" s="13">
        <v>9</v>
      </c>
      <c r="I208" s="21" t="s">
        <v>29</v>
      </c>
      <c r="J208" s="13" t="s">
        <v>147</v>
      </c>
    </row>
    <row r="209" spans="2:10" ht="54" x14ac:dyDescent="0.15">
      <c r="B209" s="50"/>
      <c r="C209" s="42"/>
      <c r="D209" s="13" t="s">
        <v>148</v>
      </c>
      <c r="E209" s="13">
        <v>2</v>
      </c>
      <c r="F209" s="13" t="s">
        <v>47</v>
      </c>
      <c r="G209" s="13"/>
      <c r="H209" s="13">
        <v>8</v>
      </c>
      <c r="I209" s="21" t="s">
        <v>29</v>
      </c>
      <c r="J209" s="13" t="s">
        <v>149</v>
      </c>
    </row>
    <row r="210" spans="2:10" ht="54" x14ac:dyDescent="0.15">
      <c r="B210" s="50"/>
      <c r="C210" s="42"/>
      <c r="D210" s="13" t="s">
        <v>150</v>
      </c>
      <c r="E210" s="13">
        <v>2</v>
      </c>
      <c r="F210" s="13" t="s">
        <v>47</v>
      </c>
      <c r="G210" s="13"/>
      <c r="H210" s="13">
        <v>9</v>
      </c>
      <c r="I210" s="21" t="s">
        <v>29</v>
      </c>
      <c r="J210" s="13" t="s">
        <v>151</v>
      </c>
    </row>
    <row r="211" spans="2:10" ht="27" x14ac:dyDescent="0.15">
      <c r="B211" s="50"/>
      <c r="C211" s="43"/>
      <c r="D211" s="28" t="s">
        <v>152</v>
      </c>
      <c r="E211" s="28">
        <v>3</v>
      </c>
      <c r="F211" s="28">
        <v>6</v>
      </c>
      <c r="G211" s="28"/>
      <c r="H211" s="28">
        <v>7</v>
      </c>
      <c r="I211" s="30" t="s">
        <v>29</v>
      </c>
      <c r="J211" s="28" t="s">
        <v>153</v>
      </c>
    </row>
    <row r="212" spans="2:10" ht="54" x14ac:dyDescent="0.15">
      <c r="B212" s="50"/>
      <c r="C212" s="47" t="s">
        <v>55</v>
      </c>
      <c r="D212" s="13" t="s">
        <v>56</v>
      </c>
      <c r="E212" s="13">
        <v>2</v>
      </c>
      <c r="F212" s="22" t="s">
        <v>57</v>
      </c>
      <c r="G212" s="13"/>
      <c r="H212" s="13">
        <v>5</v>
      </c>
      <c r="I212" s="21" t="s">
        <v>29</v>
      </c>
      <c r="J212" s="13" t="s">
        <v>58</v>
      </c>
    </row>
    <row r="213" spans="2:10" ht="27" x14ac:dyDescent="0.15">
      <c r="B213" s="50"/>
      <c r="C213" s="42"/>
      <c r="D213" s="13" t="s">
        <v>59</v>
      </c>
      <c r="E213" s="13">
        <v>3</v>
      </c>
      <c r="F213" s="13">
        <v>12</v>
      </c>
      <c r="G213" s="13"/>
      <c r="H213" s="13">
        <v>9</v>
      </c>
      <c r="I213" s="21" t="s">
        <v>25</v>
      </c>
      <c r="J213" s="13" t="s">
        <v>154</v>
      </c>
    </row>
    <row r="214" spans="2:10" ht="54" x14ac:dyDescent="0.15">
      <c r="B214" s="50"/>
      <c r="C214" s="42"/>
      <c r="D214" s="13" t="s">
        <v>155</v>
      </c>
      <c r="E214" s="13">
        <v>3</v>
      </c>
      <c r="F214" s="22" t="s">
        <v>60</v>
      </c>
      <c r="G214" s="13"/>
      <c r="H214" s="13">
        <v>9</v>
      </c>
      <c r="I214" s="21" t="s">
        <v>29</v>
      </c>
      <c r="J214" s="13" t="s">
        <v>156</v>
      </c>
    </row>
    <row r="215" spans="2:10" ht="54" x14ac:dyDescent="0.15">
      <c r="B215" s="50"/>
      <c r="C215" s="42"/>
      <c r="D215" s="13" t="s">
        <v>157</v>
      </c>
      <c r="E215" s="13">
        <v>3</v>
      </c>
      <c r="F215" s="22" t="s">
        <v>24</v>
      </c>
      <c r="G215" s="13"/>
      <c r="H215" s="13">
        <v>9</v>
      </c>
      <c r="I215" s="21" t="s">
        <v>29</v>
      </c>
      <c r="J215" s="13" t="s">
        <v>158</v>
      </c>
    </row>
    <row r="216" spans="2:10" ht="54" x14ac:dyDescent="0.15">
      <c r="B216" s="50"/>
      <c r="C216" s="42"/>
      <c r="D216" s="13" t="s">
        <v>115</v>
      </c>
      <c r="E216" s="13">
        <v>3</v>
      </c>
      <c r="F216" s="13" t="s">
        <v>47</v>
      </c>
      <c r="G216" s="13"/>
      <c r="H216" s="13">
        <v>9</v>
      </c>
      <c r="I216" s="21" t="s">
        <v>29</v>
      </c>
      <c r="J216" s="13" t="s">
        <v>159</v>
      </c>
    </row>
    <row r="217" spans="2:10" ht="54" x14ac:dyDescent="0.15">
      <c r="B217" s="50"/>
      <c r="C217" s="42"/>
      <c r="D217" s="13" t="s">
        <v>160</v>
      </c>
      <c r="E217" s="13">
        <v>3</v>
      </c>
      <c r="F217" s="13">
        <v>20</v>
      </c>
      <c r="G217" s="13"/>
      <c r="H217" s="13">
        <v>9</v>
      </c>
      <c r="I217" s="21" t="s">
        <v>29</v>
      </c>
      <c r="J217" s="13" t="s">
        <v>198</v>
      </c>
    </row>
    <row r="218" spans="2:10" ht="54" x14ac:dyDescent="0.15">
      <c r="B218" s="50"/>
      <c r="C218" s="42"/>
      <c r="D218" s="13" t="s">
        <v>162</v>
      </c>
      <c r="E218" s="13">
        <v>3</v>
      </c>
      <c r="F218" s="13" t="s">
        <v>47</v>
      </c>
      <c r="G218" s="13"/>
      <c r="H218" s="13">
        <v>9</v>
      </c>
      <c r="I218" s="21" t="s">
        <v>29</v>
      </c>
      <c r="J218" s="13" t="s">
        <v>163</v>
      </c>
    </row>
    <row r="219" spans="2:10" ht="54" x14ac:dyDescent="0.15">
      <c r="B219" s="50"/>
      <c r="C219" s="48"/>
      <c r="D219" s="13" t="s">
        <v>164</v>
      </c>
      <c r="E219" s="13">
        <v>3</v>
      </c>
      <c r="F219" s="13" t="s">
        <v>57</v>
      </c>
      <c r="G219" s="13"/>
      <c r="H219" s="13">
        <v>8</v>
      </c>
      <c r="I219" s="21" t="s">
        <v>29</v>
      </c>
      <c r="J219" s="13" t="s">
        <v>165</v>
      </c>
    </row>
    <row r="220" spans="2:10" ht="54" x14ac:dyDescent="0.15">
      <c r="B220" s="50"/>
      <c r="C220" s="41" t="s">
        <v>74</v>
      </c>
      <c r="D220" s="24" t="s">
        <v>17</v>
      </c>
      <c r="E220" s="24">
        <v>4</v>
      </c>
      <c r="F220" s="24">
        <v>4</v>
      </c>
      <c r="G220" s="24">
        <f>IF(D4="kg",MROUND(E8*0.8,2.5),MROUND(E8*0.8,5))</f>
        <v>285</v>
      </c>
      <c r="H220" s="26">
        <v>0.8</v>
      </c>
      <c r="I220" s="27" t="s">
        <v>18</v>
      </c>
      <c r="J220" s="24" t="s">
        <v>19</v>
      </c>
    </row>
    <row r="221" spans="2:10" ht="54" x14ac:dyDescent="0.15">
      <c r="B221" s="50"/>
      <c r="C221" s="42"/>
      <c r="D221" s="13" t="s">
        <v>20</v>
      </c>
      <c r="E221" s="13">
        <v>3</v>
      </c>
      <c r="F221" s="22" t="s">
        <v>24</v>
      </c>
      <c r="G221" s="13"/>
      <c r="H221" s="22">
        <v>8</v>
      </c>
      <c r="I221" s="21" t="s">
        <v>25</v>
      </c>
      <c r="J221" s="13" t="s">
        <v>22</v>
      </c>
    </row>
    <row r="222" spans="2:10" ht="54" x14ac:dyDescent="0.15">
      <c r="B222" s="50"/>
      <c r="C222" s="42"/>
      <c r="D222" s="13" t="s">
        <v>166</v>
      </c>
      <c r="E222" s="13">
        <v>2</v>
      </c>
      <c r="F222" s="13">
        <v>10</v>
      </c>
      <c r="G222" s="13"/>
      <c r="H222" s="13">
        <v>9</v>
      </c>
      <c r="I222" s="21" t="s">
        <v>25</v>
      </c>
      <c r="J222" s="13" t="s">
        <v>167</v>
      </c>
    </row>
    <row r="223" spans="2:10" ht="54" x14ac:dyDescent="0.15">
      <c r="B223" s="50"/>
      <c r="C223" s="42"/>
      <c r="D223" s="13" t="s">
        <v>168</v>
      </c>
      <c r="E223" s="13">
        <v>2</v>
      </c>
      <c r="F223" s="13">
        <v>12</v>
      </c>
      <c r="G223" s="13"/>
      <c r="H223" s="13">
        <v>8</v>
      </c>
      <c r="I223" s="21" t="s">
        <v>29</v>
      </c>
      <c r="J223" s="13" t="s">
        <v>169</v>
      </c>
    </row>
    <row r="224" spans="2:10" ht="54" x14ac:dyDescent="0.15">
      <c r="B224" s="50"/>
      <c r="C224" s="42"/>
      <c r="D224" s="13" t="s">
        <v>170</v>
      </c>
      <c r="E224" s="13">
        <v>2</v>
      </c>
      <c r="F224" s="13">
        <v>15</v>
      </c>
      <c r="G224" s="13"/>
      <c r="H224" s="13">
        <v>9</v>
      </c>
      <c r="I224" s="21" t="s">
        <v>29</v>
      </c>
      <c r="J224" s="13" t="s">
        <v>35</v>
      </c>
    </row>
    <row r="225" spans="2:10" ht="54" x14ac:dyDescent="0.15">
      <c r="B225" s="50"/>
      <c r="C225" s="42"/>
      <c r="D225" s="13" t="s">
        <v>171</v>
      </c>
      <c r="E225" s="13">
        <v>2</v>
      </c>
      <c r="F225" s="13">
        <v>20</v>
      </c>
      <c r="G225" s="13"/>
      <c r="H225" s="13">
        <v>8</v>
      </c>
      <c r="I225" s="21" t="s">
        <v>29</v>
      </c>
      <c r="J225" s="13" t="s">
        <v>172</v>
      </c>
    </row>
    <row r="226" spans="2:10" ht="54" x14ac:dyDescent="0.15">
      <c r="B226" s="50"/>
      <c r="C226" s="43"/>
      <c r="D226" s="28" t="s">
        <v>36</v>
      </c>
      <c r="E226" s="28">
        <v>3</v>
      </c>
      <c r="F226" s="28">
        <v>12</v>
      </c>
      <c r="G226" s="28"/>
      <c r="H226" s="28">
        <v>8</v>
      </c>
      <c r="I226" s="30" t="s">
        <v>29</v>
      </c>
      <c r="J226" s="28" t="s">
        <v>173</v>
      </c>
    </row>
    <row r="227" spans="2:10" ht="54" x14ac:dyDescent="0.15">
      <c r="B227" s="50"/>
      <c r="C227" s="44" t="s">
        <v>87</v>
      </c>
      <c r="D227" s="13" t="s">
        <v>39</v>
      </c>
      <c r="E227" s="13">
        <v>4</v>
      </c>
      <c r="F227" s="13">
        <v>5</v>
      </c>
      <c r="G227" s="13">
        <f>IF(D4="kg",MROUND(F8*0.8,2.5),MROUND(F8*0.8,5))</f>
        <v>210</v>
      </c>
      <c r="H227" s="20">
        <v>0.8</v>
      </c>
      <c r="I227" s="21" t="s">
        <v>25</v>
      </c>
      <c r="J227" s="13" t="s">
        <v>174</v>
      </c>
    </row>
    <row r="228" spans="2:10" ht="54" x14ac:dyDescent="0.15">
      <c r="B228" s="50"/>
      <c r="C228" s="45"/>
      <c r="D228" s="13" t="s">
        <v>175</v>
      </c>
      <c r="E228" s="13">
        <v>3</v>
      </c>
      <c r="F228" s="13" t="s">
        <v>176</v>
      </c>
      <c r="G228" s="13">
        <f>IF(D4="kg",MROUND(H8*0.8,2.5),MROUND(H8*0.8,5))</f>
        <v>130</v>
      </c>
      <c r="H228" s="20">
        <v>0.8</v>
      </c>
      <c r="I228" s="21" t="s">
        <v>25</v>
      </c>
      <c r="J228" s="13" t="s">
        <v>177</v>
      </c>
    </row>
    <row r="229" spans="2:10" ht="54" x14ac:dyDescent="0.15">
      <c r="B229" s="50"/>
      <c r="C229" s="45"/>
      <c r="D229" s="13" t="s">
        <v>178</v>
      </c>
      <c r="E229" s="13">
        <v>3</v>
      </c>
      <c r="F229" s="22" t="s">
        <v>179</v>
      </c>
      <c r="G229" s="13"/>
      <c r="H229" s="13">
        <v>8</v>
      </c>
      <c r="I229" s="21" t="s">
        <v>29</v>
      </c>
      <c r="J229" s="13" t="s">
        <v>180</v>
      </c>
    </row>
    <row r="230" spans="2:10" ht="54" x14ac:dyDescent="0.15">
      <c r="B230" s="50"/>
      <c r="C230" s="45"/>
      <c r="D230" s="13" t="s">
        <v>181</v>
      </c>
      <c r="E230" s="13">
        <v>3</v>
      </c>
      <c r="F230" s="13" t="s">
        <v>47</v>
      </c>
      <c r="G230" s="13"/>
      <c r="H230" s="13">
        <v>9</v>
      </c>
      <c r="I230" s="21" t="s">
        <v>29</v>
      </c>
      <c r="J230" s="13" t="s">
        <v>182</v>
      </c>
    </row>
    <row r="231" spans="2:10" ht="54" x14ac:dyDescent="0.15">
      <c r="B231" s="50"/>
      <c r="C231" s="45"/>
      <c r="D231" s="13" t="s">
        <v>183</v>
      </c>
      <c r="E231" s="13">
        <v>3</v>
      </c>
      <c r="F231" s="13" t="s">
        <v>57</v>
      </c>
      <c r="G231" s="13"/>
      <c r="H231" s="13">
        <v>9</v>
      </c>
      <c r="I231" s="21" t="s">
        <v>29</v>
      </c>
      <c r="J231" s="13" t="s">
        <v>98</v>
      </c>
    </row>
    <row r="232" spans="2:10" ht="54" x14ac:dyDescent="0.15">
      <c r="B232" s="50"/>
      <c r="C232" s="46"/>
      <c r="D232" s="13" t="s">
        <v>184</v>
      </c>
      <c r="E232" s="13">
        <v>3</v>
      </c>
      <c r="F232" s="13" t="s">
        <v>185</v>
      </c>
      <c r="G232" s="13"/>
      <c r="H232" s="13">
        <v>7</v>
      </c>
      <c r="I232" s="21" t="s">
        <v>29</v>
      </c>
      <c r="J232" s="13" t="s">
        <v>186</v>
      </c>
    </row>
    <row r="233" spans="2:10" ht="54" x14ac:dyDescent="0.15">
      <c r="B233" s="50"/>
      <c r="C233" s="41" t="s">
        <v>103</v>
      </c>
      <c r="D233" s="24" t="s">
        <v>187</v>
      </c>
      <c r="E233" s="24">
        <v>3</v>
      </c>
      <c r="F233" s="24">
        <v>12</v>
      </c>
      <c r="G233" s="24"/>
      <c r="H233" s="24">
        <v>9</v>
      </c>
      <c r="I233" s="27" t="s">
        <v>25</v>
      </c>
      <c r="J233" s="24" t="s">
        <v>188</v>
      </c>
    </row>
    <row r="234" spans="2:10" ht="54" x14ac:dyDescent="0.15">
      <c r="B234" s="50"/>
      <c r="C234" s="42"/>
      <c r="D234" s="13" t="s">
        <v>189</v>
      </c>
      <c r="E234" s="13">
        <v>3</v>
      </c>
      <c r="F234" s="13" t="s">
        <v>21</v>
      </c>
      <c r="G234" s="13"/>
      <c r="H234" s="13">
        <v>8</v>
      </c>
      <c r="I234" s="21" t="s">
        <v>25</v>
      </c>
      <c r="J234" s="13" t="s">
        <v>190</v>
      </c>
    </row>
    <row r="235" spans="2:10" ht="54" x14ac:dyDescent="0.15">
      <c r="B235" s="50"/>
      <c r="C235" s="42"/>
      <c r="D235" s="13" t="s">
        <v>110</v>
      </c>
      <c r="E235" s="13">
        <v>3</v>
      </c>
      <c r="F235" s="13" t="s">
        <v>57</v>
      </c>
      <c r="G235" s="13"/>
      <c r="H235" s="13">
        <v>9</v>
      </c>
      <c r="I235" s="21" t="s">
        <v>29</v>
      </c>
      <c r="J235" s="13" t="s">
        <v>111</v>
      </c>
    </row>
    <row r="236" spans="2:10" ht="54" x14ac:dyDescent="0.15">
      <c r="B236" s="50"/>
      <c r="C236" s="42"/>
      <c r="D236" s="13" t="s">
        <v>191</v>
      </c>
      <c r="E236" s="13">
        <v>3</v>
      </c>
      <c r="F236" s="13">
        <v>15</v>
      </c>
      <c r="G236" s="13"/>
      <c r="H236" s="13">
        <v>9</v>
      </c>
      <c r="I236" s="21" t="s">
        <v>29</v>
      </c>
      <c r="J236" s="13" t="s">
        <v>192</v>
      </c>
    </row>
    <row r="237" spans="2:10" ht="54" x14ac:dyDescent="0.15">
      <c r="B237" s="50"/>
      <c r="C237" s="42"/>
      <c r="D237" s="13" t="s">
        <v>193</v>
      </c>
      <c r="E237" s="13">
        <v>4</v>
      </c>
      <c r="F237" s="13">
        <v>8</v>
      </c>
      <c r="G237" s="13"/>
      <c r="H237" s="13">
        <v>10</v>
      </c>
      <c r="I237" s="21" t="s">
        <v>32</v>
      </c>
      <c r="J237" s="13" t="s">
        <v>194</v>
      </c>
    </row>
    <row r="238" spans="2:10" ht="54" x14ac:dyDescent="0.15">
      <c r="B238" s="50"/>
      <c r="C238" s="42"/>
      <c r="D238" s="13" t="s">
        <v>195</v>
      </c>
      <c r="E238" s="13">
        <v>4</v>
      </c>
      <c r="F238" s="13">
        <v>8</v>
      </c>
      <c r="G238" s="13"/>
      <c r="H238" s="13">
        <v>10</v>
      </c>
      <c r="I238" s="21" t="s">
        <v>32</v>
      </c>
      <c r="J238" s="13" t="s">
        <v>194</v>
      </c>
    </row>
    <row r="239" spans="2:10" ht="54" x14ac:dyDescent="0.15">
      <c r="B239" s="51"/>
      <c r="C239" s="43"/>
      <c r="D239" s="28" t="s">
        <v>196</v>
      </c>
      <c r="E239" s="28">
        <v>4</v>
      </c>
      <c r="F239" s="28">
        <v>8</v>
      </c>
      <c r="G239" s="28"/>
      <c r="H239" s="28">
        <v>10</v>
      </c>
      <c r="I239" s="30" t="s">
        <v>29</v>
      </c>
      <c r="J239" s="28" t="s">
        <v>197</v>
      </c>
    </row>
    <row r="240" spans="2:10" ht="26" x14ac:dyDescent="0.2">
      <c r="C240" s="33"/>
      <c r="D240" s="13"/>
      <c r="E240" s="34"/>
      <c r="F240" s="35"/>
    </row>
    <row r="241" spans="2:10" ht="22" x14ac:dyDescent="0.15">
      <c r="B241" s="52" t="s">
        <v>124</v>
      </c>
      <c r="C241" s="15" t="s">
        <v>9</v>
      </c>
      <c r="D241" s="16" t="s">
        <v>10</v>
      </c>
      <c r="E241" s="16" t="s">
        <v>11</v>
      </c>
      <c r="F241" s="17" t="s">
        <v>12</v>
      </c>
      <c r="G241" s="16" t="str">
        <f>IF(D4 = "kg", "Load (kg)", "Load (lbs)")</f>
        <v>Load (lbs)</v>
      </c>
      <c r="H241" s="17" t="s">
        <v>13</v>
      </c>
      <c r="I241" s="17" t="s">
        <v>14</v>
      </c>
      <c r="J241" s="18" t="s">
        <v>15</v>
      </c>
    </row>
    <row r="242" spans="2:10" ht="81" x14ac:dyDescent="0.15">
      <c r="B242" s="50"/>
      <c r="C242" s="47" t="s">
        <v>16</v>
      </c>
      <c r="D242" s="13" t="s">
        <v>75</v>
      </c>
      <c r="E242" s="13">
        <v>5</v>
      </c>
      <c r="F242" s="13">
        <v>3</v>
      </c>
      <c r="G242" s="13">
        <f>IF(D4="kg",MROUND(G8*0.85,2.5),MROUND(G8*0.85,5))</f>
        <v>385</v>
      </c>
      <c r="H242" s="20">
        <v>0.85</v>
      </c>
      <c r="I242" s="21" t="s">
        <v>18</v>
      </c>
      <c r="J242" s="13" t="s">
        <v>76</v>
      </c>
    </row>
    <row r="243" spans="2:10" ht="81" x14ac:dyDescent="0.15">
      <c r="B243" s="50"/>
      <c r="C243" s="42"/>
      <c r="D243" s="13" t="s">
        <v>130</v>
      </c>
      <c r="E243" s="13">
        <v>2</v>
      </c>
      <c r="F243" s="13">
        <v>6</v>
      </c>
      <c r="G243" s="13">
        <f>IF(D4="kg",MROUND(E8*0.675,2.5),MROUND(E8*0.675,5))</f>
        <v>240</v>
      </c>
      <c r="H243" s="36">
        <v>0.67500000000000004</v>
      </c>
      <c r="I243" s="21" t="s">
        <v>18</v>
      </c>
      <c r="J243" s="13" t="s">
        <v>131</v>
      </c>
    </row>
    <row r="244" spans="2:10" ht="54" x14ac:dyDescent="0.15">
      <c r="B244" s="50"/>
      <c r="C244" s="42"/>
      <c r="D244" s="13" t="s">
        <v>132</v>
      </c>
      <c r="E244" s="13">
        <v>2</v>
      </c>
      <c r="F244" s="13">
        <v>20</v>
      </c>
      <c r="G244" s="13"/>
      <c r="H244" s="13">
        <v>8</v>
      </c>
      <c r="I244" s="21" t="s">
        <v>29</v>
      </c>
      <c r="J244" s="13" t="s">
        <v>133</v>
      </c>
    </row>
    <row r="245" spans="2:10" ht="27" x14ac:dyDescent="0.15">
      <c r="B245" s="50"/>
      <c r="C245" s="42"/>
      <c r="D245" s="13" t="s">
        <v>134</v>
      </c>
      <c r="E245" s="13">
        <v>2</v>
      </c>
      <c r="F245" s="13">
        <v>15</v>
      </c>
      <c r="G245" s="13"/>
      <c r="H245" s="13">
        <v>9</v>
      </c>
      <c r="I245" s="21" t="s">
        <v>29</v>
      </c>
      <c r="J245" s="13" t="s">
        <v>135</v>
      </c>
    </row>
    <row r="246" spans="2:10" ht="54" x14ac:dyDescent="0.15">
      <c r="B246" s="50"/>
      <c r="C246" s="42"/>
      <c r="D246" s="13" t="s">
        <v>136</v>
      </c>
      <c r="E246" s="13">
        <v>2</v>
      </c>
      <c r="F246" s="13">
        <v>12</v>
      </c>
      <c r="G246" s="13"/>
      <c r="H246" s="13">
        <v>9</v>
      </c>
      <c r="I246" s="21" t="s">
        <v>29</v>
      </c>
      <c r="J246" s="13" t="s">
        <v>137</v>
      </c>
    </row>
    <row r="247" spans="2:10" ht="54" x14ac:dyDescent="0.15">
      <c r="B247" s="50"/>
      <c r="C247" s="42"/>
      <c r="D247" s="13" t="s">
        <v>138</v>
      </c>
      <c r="E247" s="13">
        <v>2</v>
      </c>
      <c r="F247" s="13">
        <v>12</v>
      </c>
      <c r="G247" s="13"/>
      <c r="H247" s="13">
        <v>9</v>
      </c>
      <c r="I247" s="21" t="s">
        <v>29</v>
      </c>
      <c r="J247" s="13" t="s">
        <v>137</v>
      </c>
    </row>
    <row r="248" spans="2:10" ht="54" x14ac:dyDescent="0.15">
      <c r="B248" s="50"/>
      <c r="C248" s="42"/>
      <c r="D248" s="13" t="s">
        <v>139</v>
      </c>
      <c r="E248" s="13">
        <v>2</v>
      </c>
      <c r="F248" s="13">
        <v>15</v>
      </c>
      <c r="G248" s="13"/>
      <c r="H248" s="13">
        <v>8</v>
      </c>
      <c r="I248" s="21" t="s">
        <v>29</v>
      </c>
      <c r="J248" s="13" t="s">
        <v>140</v>
      </c>
    </row>
    <row r="249" spans="2:10" ht="81" x14ac:dyDescent="0.15">
      <c r="B249" s="50"/>
      <c r="C249" s="48"/>
      <c r="D249" s="13" t="s">
        <v>141</v>
      </c>
      <c r="E249" s="13">
        <v>3</v>
      </c>
      <c r="F249" s="13">
        <v>8</v>
      </c>
      <c r="G249" s="13"/>
      <c r="H249" s="13">
        <v>8</v>
      </c>
      <c r="I249" s="21" t="s">
        <v>29</v>
      </c>
      <c r="J249" s="13" t="s">
        <v>142</v>
      </c>
    </row>
    <row r="250" spans="2:10" ht="54" x14ac:dyDescent="0.15">
      <c r="B250" s="50"/>
      <c r="C250" s="41" t="s">
        <v>38</v>
      </c>
      <c r="D250" s="24" t="s">
        <v>39</v>
      </c>
      <c r="E250" s="24">
        <v>2</v>
      </c>
      <c r="F250" s="24">
        <v>10</v>
      </c>
      <c r="G250" s="24">
        <f>IF(D4="kg",MROUND(F8*0.775,2.5),MROUND(F8*0.775,5))</f>
        <v>205</v>
      </c>
      <c r="H250" s="31">
        <v>0.77500000000000002</v>
      </c>
      <c r="I250" s="27" t="s">
        <v>25</v>
      </c>
      <c r="J250" s="24" t="s">
        <v>40</v>
      </c>
    </row>
    <row r="251" spans="2:10" ht="54" x14ac:dyDescent="0.15">
      <c r="B251" s="50"/>
      <c r="C251" s="42"/>
      <c r="D251" s="13" t="s">
        <v>143</v>
      </c>
      <c r="E251" s="13">
        <v>2</v>
      </c>
      <c r="F251" s="13">
        <v>12</v>
      </c>
      <c r="G251" s="13"/>
      <c r="H251" s="13">
        <v>9</v>
      </c>
      <c r="I251" s="21" t="s">
        <v>29</v>
      </c>
      <c r="J251" s="13" t="s">
        <v>144</v>
      </c>
    </row>
    <row r="252" spans="2:10" ht="27" x14ac:dyDescent="0.15">
      <c r="B252" s="50"/>
      <c r="C252" s="42"/>
      <c r="D252" s="13" t="s">
        <v>145</v>
      </c>
      <c r="E252" s="13">
        <v>2</v>
      </c>
      <c r="F252" s="13">
        <v>15</v>
      </c>
      <c r="G252" s="13"/>
      <c r="H252" s="13">
        <v>9</v>
      </c>
      <c r="I252" s="21" t="s">
        <v>29</v>
      </c>
      <c r="J252" s="13" t="s">
        <v>90</v>
      </c>
    </row>
    <row r="253" spans="2:10" ht="108" x14ac:dyDescent="0.15">
      <c r="B253" s="50"/>
      <c r="C253" s="42"/>
      <c r="D253" s="13" t="s">
        <v>46</v>
      </c>
      <c r="E253" s="13">
        <v>2</v>
      </c>
      <c r="F253" s="22" t="s">
        <v>57</v>
      </c>
      <c r="G253" s="13"/>
      <c r="H253" s="13">
        <v>10</v>
      </c>
      <c r="I253" s="21" t="s">
        <v>29</v>
      </c>
      <c r="J253" s="13" t="s">
        <v>48</v>
      </c>
    </row>
    <row r="254" spans="2:10" ht="81" x14ac:dyDescent="0.15">
      <c r="B254" s="50"/>
      <c r="C254" s="42"/>
      <c r="D254" s="13" t="s">
        <v>146</v>
      </c>
      <c r="E254" s="13">
        <v>2</v>
      </c>
      <c r="F254" s="13" t="s">
        <v>21</v>
      </c>
      <c r="G254" s="13"/>
      <c r="H254" s="13">
        <v>9</v>
      </c>
      <c r="I254" s="21" t="s">
        <v>29</v>
      </c>
      <c r="J254" s="13" t="s">
        <v>147</v>
      </c>
    </row>
    <row r="255" spans="2:10" ht="54" x14ac:dyDescent="0.15">
      <c r="B255" s="50"/>
      <c r="C255" s="42"/>
      <c r="D255" s="13" t="s">
        <v>148</v>
      </c>
      <c r="E255" s="13">
        <v>2</v>
      </c>
      <c r="F255" s="13" t="s">
        <v>47</v>
      </c>
      <c r="G255" s="13"/>
      <c r="H255" s="13">
        <v>8</v>
      </c>
      <c r="I255" s="21" t="s">
        <v>29</v>
      </c>
      <c r="J255" s="13" t="s">
        <v>149</v>
      </c>
    </row>
    <row r="256" spans="2:10" ht="54" x14ac:dyDescent="0.15">
      <c r="B256" s="50"/>
      <c r="C256" s="42"/>
      <c r="D256" s="13" t="s">
        <v>150</v>
      </c>
      <c r="E256" s="13">
        <v>2</v>
      </c>
      <c r="F256" s="13" t="s">
        <v>47</v>
      </c>
      <c r="G256" s="13"/>
      <c r="H256" s="13">
        <v>9</v>
      </c>
      <c r="I256" s="21" t="s">
        <v>29</v>
      </c>
      <c r="J256" s="13" t="s">
        <v>151</v>
      </c>
    </row>
    <row r="257" spans="2:10" ht="27" x14ac:dyDescent="0.15">
      <c r="B257" s="50"/>
      <c r="C257" s="43"/>
      <c r="D257" s="28" t="s">
        <v>152</v>
      </c>
      <c r="E257" s="28">
        <v>3</v>
      </c>
      <c r="F257" s="28">
        <v>6</v>
      </c>
      <c r="G257" s="28"/>
      <c r="H257" s="28">
        <v>7</v>
      </c>
      <c r="I257" s="30" t="s">
        <v>29</v>
      </c>
      <c r="J257" s="28" t="s">
        <v>153</v>
      </c>
    </row>
    <row r="258" spans="2:10" ht="54" x14ac:dyDescent="0.15">
      <c r="B258" s="50"/>
      <c r="C258" s="47" t="s">
        <v>55</v>
      </c>
      <c r="D258" s="13" t="s">
        <v>56</v>
      </c>
      <c r="E258" s="13">
        <v>2</v>
      </c>
      <c r="F258" s="22" t="s">
        <v>57</v>
      </c>
      <c r="G258" s="13"/>
      <c r="H258" s="13">
        <v>5</v>
      </c>
      <c r="I258" s="21" t="s">
        <v>29</v>
      </c>
      <c r="J258" s="13" t="s">
        <v>58</v>
      </c>
    </row>
    <row r="259" spans="2:10" ht="27" x14ac:dyDescent="0.15">
      <c r="B259" s="50"/>
      <c r="C259" s="42"/>
      <c r="D259" s="13" t="s">
        <v>59</v>
      </c>
      <c r="E259" s="13">
        <v>3</v>
      </c>
      <c r="F259" s="13">
        <v>12</v>
      </c>
      <c r="G259" s="13"/>
      <c r="H259" s="13">
        <v>9</v>
      </c>
      <c r="I259" s="21" t="s">
        <v>25</v>
      </c>
      <c r="J259" s="13" t="s">
        <v>154</v>
      </c>
    </row>
    <row r="260" spans="2:10" ht="54" x14ac:dyDescent="0.15">
      <c r="B260" s="50"/>
      <c r="C260" s="42"/>
      <c r="D260" s="13" t="s">
        <v>155</v>
      </c>
      <c r="E260" s="13">
        <v>3</v>
      </c>
      <c r="F260" s="22" t="s">
        <v>60</v>
      </c>
      <c r="G260" s="13"/>
      <c r="H260" s="13">
        <v>9</v>
      </c>
      <c r="I260" s="21" t="s">
        <v>29</v>
      </c>
      <c r="J260" s="13" t="s">
        <v>156</v>
      </c>
    </row>
    <row r="261" spans="2:10" ht="54" x14ac:dyDescent="0.15">
      <c r="B261" s="50"/>
      <c r="C261" s="42"/>
      <c r="D261" s="13" t="s">
        <v>157</v>
      </c>
      <c r="E261" s="13">
        <v>3</v>
      </c>
      <c r="F261" s="22" t="s">
        <v>24</v>
      </c>
      <c r="G261" s="13"/>
      <c r="H261" s="13">
        <v>9</v>
      </c>
      <c r="I261" s="21" t="s">
        <v>29</v>
      </c>
      <c r="J261" s="13" t="s">
        <v>158</v>
      </c>
    </row>
    <row r="262" spans="2:10" ht="54" x14ac:dyDescent="0.15">
      <c r="B262" s="50"/>
      <c r="C262" s="42"/>
      <c r="D262" s="13" t="s">
        <v>115</v>
      </c>
      <c r="E262" s="13">
        <v>3</v>
      </c>
      <c r="F262" s="13" t="s">
        <v>47</v>
      </c>
      <c r="G262" s="13"/>
      <c r="H262" s="13">
        <v>9</v>
      </c>
      <c r="I262" s="21" t="s">
        <v>29</v>
      </c>
      <c r="J262" s="13" t="s">
        <v>159</v>
      </c>
    </row>
    <row r="263" spans="2:10" ht="54" x14ac:dyDescent="0.15">
      <c r="B263" s="50"/>
      <c r="C263" s="42"/>
      <c r="D263" s="13" t="s">
        <v>160</v>
      </c>
      <c r="E263" s="13">
        <v>3</v>
      </c>
      <c r="F263" s="13">
        <v>20</v>
      </c>
      <c r="G263" s="13"/>
      <c r="H263" s="13">
        <v>9</v>
      </c>
      <c r="I263" s="21" t="s">
        <v>29</v>
      </c>
      <c r="J263" s="13" t="s">
        <v>198</v>
      </c>
    </row>
    <row r="264" spans="2:10" ht="54" x14ac:dyDescent="0.15">
      <c r="B264" s="50"/>
      <c r="C264" s="42"/>
      <c r="D264" s="13" t="s">
        <v>162</v>
      </c>
      <c r="E264" s="13">
        <v>3</v>
      </c>
      <c r="F264" s="13" t="s">
        <v>47</v>
      </c>
      <c r="G264" s="13"/>
      <c r="H264" s="13">
        <v>9</v>
      </c>
      <c r="I264" s="21" t="s">
        <v>29</v>
      </c>
      <c r="J264" s="13" t="s">
        <v>163</v>
      </c>
    </row>
    <row r="265" spans="2:10" ht="54" x14ac:dyDescent="0.15">
      <c r="B265" s="50"/>
      <c r="C265" s="48"/>
      <c r="D265" s="13" t="s">
        <v>164</v>
      </c>
      <c r="E265" s="13">
        <v>3</v>
      </c>
      <c r="F265" s="13" t="s">
        <v>57</v>
      </c>
      <c r="G265" s="13"/>
      <c r="H265" s="13">
        <v>8</v>
      </c>
      <c r="I265" s="21" t="s">
        <v>29</v>
      </c>
      <c r="J265" s="13" t="s">
        <v>165</v>
      </c>
    </row>
    <row r="266" spans="2:10" ht="54" x14ac:dyDescent="0.15">
      <c r="B266" s="50"/>
      <c r="C266" s="41" t="s">
        <v>74</v>
      </c>
      <c r="D266" s="24" t="s">
        <v>17</v>
      </c>
      <c r="E266" s="24">
        <v>4</v>
      </c>
      <c r="F266" s="24">
        <v>5</v>
      </c>
      <c r="G266" s="24">
        <f>IF(D4="kg",MROUND(E8*0.8,2.5),MROUND(E8*0.8,5))</f>
        <v>285</v>
      </c>
      <c r="H266" s="26">
        <v>0.8</v>
      </c>
      <c r="I266" s="27" t="s">
        <v>18</v>
      </c>
      <c r="J266" s="24" t="s">
        <v>19</v>
      </c>
    </row>
    <row r="267" spans="2:10" ht="54" x14ac:dyDescent="0.15">
      <c r="B267" s="50"/>
      <c r="C267" s="42"/>
      <c r="D267" s="13" t="s">
        <v>20</v>
      </c>
      <c r="E267" s="13">
        <v>3</v>
      </c>
      <c r="F267" s="22" t="s">
        <v>24</v>
      </c>
      <c r="G267" s="13"/>
      <c r="H267" s="22">
        <v>8</v>
      </c>
      <c r="I267" s="21" t="s">
        <v>25</v>
      </c>
      <c r="J267" s="13" t="s">
        <v>22</v>
      </c>
    </row>
    <row r="268" spans="2:10" ht="54" x14ac:dyDescent="0.15">
      <c r="B268" s="50"/>
      <c r="C268" s="42"/>
      <c r="D268" s="13" t="s">
        <v>166</v>
      </c>
      <c r="E268" s="13">
        <v>2</v>
      </c>
      <c r="F268" s="13">
        <v>10</v>
      </c>
      <c r="G268" s="13"/>
      <c r="H268" s="13">
        <v>9</v>
      </c>
      <c r="I268" s="21" t="s">
        <v>25</v>
      </c>
      <c r="J268" s="13" t="s">
        <v>167</v>
      </c>
    </row>
    <row r="269" spans="2:10" ht="54" x14ac:dyDescent="0.15">
      <c r="B269" s="50"/>
      <c r="C269" s="42"/>
      <c r="D269" s="13" t="s">
        <v>168</v>
      </c>
      <c r="E269" s="13">
        <v>2</v>
      </c>
      <c r="F269" s="13">
        <v>12</v>
      </c>
      <c r="G269" s="13"/>
      <c r="H269" s="13">
        <v>8</v>
      </c>
      <c r="I269" s="21" t="s">
        <v>29</v>
      </c>
      <c r="J269" s="13" t="s">
        <v>169</v>
      </c>
    </row>
    <row r="270" spans="2:10" ht="54" x14ac:dyDescent="0.15">
      <c r="B270" s="50"/>
      <c r="C270" s="42"/>
      <c r="D270" s="13" t="s">
        <v>170</v>
      </c>
      <c r="E270" s="13">
        <v>2</v>
      </c>
      <c r="F270" s="13">
        <v>15</v>
      </c>
      <c r="G270" s="13"/>
      <c r="H270" s="13">
        <v>9</v>
      </c>
      <c r="I270" s="21" t="s">
        <v>29</v>
      </c>
      <c r="J270" s="13" t="s">
        <v>35</v>
      </c>
    </row>
    <row r="271" spans="2:10" ht="54" x14ac:dyDescent="0.15">
      <c r="B271" s="50"/>
      <c r="C271" s="42"/>
      <c r="D271" s="13" t="s">
        <v>171</v>
      </c>
      <c r="E271" s="13">
        <v>2</v>
      </c>
      <c r="F271" s="13">
        <v>20</v>
      </c>
      <c r="G271" s="13"/>
      <c r="H271" s="13">
        <v>8</v>
      </c>
      <c r="I271" s="21" t="s">
        <v>29</v>
      </c>
      <c r="J271" s="13" t="s">
        <v>172</v>
      </c>
    </row>
    <row r="272" spans="2:10" ht="54" x14ac:dyDescent="0.15">
      <c r="B272" s="50"/>
      <c r="C272" s="43"/>
      <c r="D272" s="28" t="s">
        <v>36</v>
      </c>
      <c r="E272" s="28">
        <v>3</v>
      </c>
      <c r="F272" s="28">
        <v>12</v>
      </c>
      <c r="G272" s="28"/>
      <c r="H272" s="28">
        <v>8</v>
      </c>
      <c r="I272" s="30" t="s">
        <v>29</v>
      </c>
      <c r="J272" s="28" t="s">
        <v>173</v>
      </c>
    </row>
    <row r="273" spans="2:10" ht="54" x14ac:dyDescent="0.15">
      <c r="B273" s="50"/>
      <c r="C273" s="44" t="s">
        <v>87</v>
      </c>
      <c r="D273" s="13" t="s">
        <v>39</v>
      </c>
      <c r="E273" s="13">
        <v>4</v>
      </c>
      <c r="F273" s="13">
        <v>5</v>
      </c>
      <c r="G273" s="13">
        <f>IF(D4="kg",MROUND(F8*0.8,2.5),MROUND(F8*0.8,5))</f>
        <v>210</v>
      </c>
      <c r="H273" s="20">
        <v>0.8</v>
      </c>
      <c r="I273" s="21" t="s">
        <v>25</v>
      </c>
      <c r="J273" s="13" t="s">
        <v>174</v>
      </c>
    </row>
    <row r="274" spans="2:10" ht="54" x14ac:dyDescent="0.15">
      <c r="B274" s="50"/>
      <c r="C274" s="45"/>
      <c r="D274" s="13" t="s">
        <v>175</v>
      </c>
      <c r="E274" s="13">
        <v>3</v>
      </c>
      <c r="F274" s="13" t="s">
        <v>176</v>
      </c>
      <c r="G274" s="13">
        <f>IF(D4="kg",MROUND(H8*0.8,2.5),MROUND(H8*0.8,5))</f>
        <v>130</v>
      </c>
      <c r="H274" s="20">
        <v>0.8</v>
      </c>
      <c r="I274" s="21" t="s">
        <v>25</v>
      </c>
      <c r="J274" s="13" t="s">
        <v>177</v>
      </c>
    </row>
    <row r="275" spans="2:10" ht="54" x14ac:dyDescent="0.15">
      <c r="B275" s="50"/>
      <c r="C275" s="45"/>
      <c r="D275" s="13" t="s">
        <v>178</v>
      </c>
      <c r="E275" s="13">
        <v>3</v>
      </c>
      <c r="F275" s="22" t="s">
        <v>179</v>
      </c>
      <c r="G275" s="13"/>
      <c r="H275" s="13">
        <v>8</v>
      </c>
      <c r="I275" s="21" t="s">
        <v>29</v>
      </c>
      <c r="J275" s="13" t="s">
        <v>180</v>
      </c>
    </row>
    <row r="276" spans="2:10" ht="54" x14ac:dyDescent="0.15">
      <c r="B276" s="50"/>
      <c r="C276" s="45"/>
      <c r="D276" s="13" t="s">
        <v>181</v>
      </c>
      <c r="E276" s="13">
        <v>3</v>
      </c>
      <c r="F276" s="13" t="s">
        <v>47</v>
      </c>
      <c r="G276" s="13"/>
      <c r="H276" s="13">
        <v>9</v>
      </c>
      <c r="I276" s="21" t="s">
        <v>29</v>
      </c>
      <c r="J276" s="13" t="s">
        <v>182</v>
      </c>
    </row>
    <row r="277" spans="2:10" ht="54" x14ac:dyDescent="0.15">
      <c r="B277" s="50"/>
      <c r="C277" s="45"/>
      <c r="D277" s="13" t="s">
        <v>183</v>
      </c>
      <c r="E277" s="13">
        <v>3</v>
      </c>
      <c r="F277" s="13" t="s">
        <v>57</v>
      </c>
      <c r="G277" s="13"/>
      <c r="H277" s="13">
        <v>9</v>
      </c>
      <c r="I277" s="21" t="s">
        <v>29</v>
      </c>
      <c r="J277" s="13" t="s">
        <v>98</v>
      </c>
    </row>
    <row r="278" spans="2:10" ht="54" x14ac:dyDescent="0.15">
      <c r="B278" s="50"/>
      <c r="C278" s="46"/>
      <c r="D278" s="13" t="s">
        <v>184</v>
      </c>
      <c r="E278" s="13">
        <v>3</v>
      </c>
      <c r="F278" s="13" t="s">
        <v>185</v>
      </c>
      <c r="G278" s="13"/>
      <c r="H278" s="13">
        <v>7</v>
      </c>
      <c r="I278" s="21" t="s">
        <v>29</v>
      </c>
      <c r="J278" s="13" t="s">
        <v>186</v>
      </c>
    </row>
    <row r="279" spans="2:10" ht="54" x14ac:dyDescent="0.15">
      <c r="B279" s="50"/>
      <c r="C279" s="41" t="s">
        <v>103</v>
      </c>
      <c r="D279" s="24" t="s">
        <v>187</v>
      </c>
      <c r="E279" s="24">
        <v>3</v>
      </c>
      <c r="F279" s="24">
        <v>12</v>
      </c>
      <c r="G279" s="24"/>
      <c r="H279" s="24">
        <v>9</v>
      </c>
      <c r="I279" s="27" t="s">
        <v>25</v>
      </c>
      <c r="J279" s="24" t="s">
        <v>188</v>
      </c>
    </row>
    <row r="280" spans="2:10" ht="54" x14ac:dyDescent="0.15">
      <c r="B280" s="50"/>
      <c r="C280" s="42"/>
      <c r="D280" s="13" t="s">
        <v>189</v>
      </c>
      <c r="E280" s="13">
        <v>3</v>
      </c>
      <c r="F280" s="13" t="s">
        <v>21</v>
      </c>
      <c r="G280" s="13"/>
      <c r="H280" s="13">
        <v>8</v>
      </c>
      <c r="I280" s="21" t="s">
        <v>25</v>
      </c>
      <c r="J280" s="13" t="s">
        <v>190</v>
      </c>
    </row>
    <row r="281" spans="2:10" ht="54" x14ac:dyDescent="0.15">
      <c r="B281" s="50"/>
      <c r="C281" s="42"/>
      <c r="D281" s="13" t="s">
        <v>110</v>
      </c>
      <c r="E281" s="13">
        <v>3</v>
      </c>
      <c r="F281" s="13" t="s">
        <v>57</v>
      </c>
      <c r="G281" s="13"/>
      <c r="H281" s="13">
        <v>9</v>
      </c>
      <c r="I281" s="21" t="s">
        <v>29</v>
      </c>
      <c r="J281" s="13" t="s">
        <v>111</v>
      </c>
    </row>
    <row r="282" spans="2:10" ht="54" x14ac:dyDescent="0.15">
      <c r="B282" s="50"/>
      <c r="C282" s="42"/>
      <c r="D282" s="13" t="s">
        <v>191</v>
      </c>
      <c r="E282" s="13">
        <v>3</v>
      </c>
      <c r="F282" s="13">
        <v>15</v>
      </c>
      <c r="G282" s="13"/>
      <c r="H282" s="13">
        <v>9</v>
      </c>
      <c r="I282" s="21" t="s">
        <v>29</v>
      </c>
      <c r="J282" s="13" t="s">
        <v>192</v>
      </c>
    </row>
    <row r="283" spans="2:10" ht="54" x14ac:dyDescent="0.15">
      <c r="B283" s="50"/>
      <c r="C283" s="42"/>
      <c r="D283" s="13" t="s">
        <v>193</v>
      </c>
      <c r="E283" s="13">
        <v>4</v>
      </c>
      <c r="F283" s="13">
        <v>8</v>
      </c>
      <c r="G283" s="13"/>
      <c r="H283" s="13">
        <v>10</v>
      </c>
      <c r="I283" s="21" t="s">
        <v>32</v>
      </c>
      <c r="J283" s="13" t="s">
        <v>194</v>
      </c>
    </row>
    <row r="284" spans="2:10" ht="54" x14ac:dyDescent="0.15">
      <c r="B284" s="50"/>
      <c r="C284" s="42"/>
      <c r="D284" s="13" t="s">
        <v>195</v>
      </c>
      <c r="E284" s="13">
        <v>4</v>
      </c>
      <c r="F284" s="13">
        <v>8</v>
      </c>
      <c r="G284" s="13"/>
      <c r="H284" s="13">
        <v>10</v>
      </c>
      <c r="I284" s="21" t="s">
        <v>32</v>
      </c>
      <c r="J284" s="13" t="s">
        <v>194</v>
      </c>
    </row>
    <row r="285" spans="2:10" ht="54" x14ac:dyDescent="0.15">
      <c r="B285" s="51"/>
      <c r="C285" s="43"/>
      <c r="D285" s="28" t="s">
        <v>196</v>
      </c>
      <c r="E285" s="28">
        <v>4</v>
      </c>
      <c r="F285" s="28">
        <v>8</v>
      </c>
      <c r="G285" s="28"/>
      <c r="H285" s="28">
        <v>10</v>
      </c>
      <c r="I285" s="30" t="s">
        <v>29</v>
      </c>
      <c r="J285" s="28" t="s">
        <v>197</v>
      </c>
    </row>
    <row r="286" spans="2:10" ht="26" x14ac:dyDescent="0.2">
      <c r="C286" s="33"/>
      <c r="D286" s="13"/>
      <c r="E286" s="34"/>
      <c r="F286" s="35"/>
    </row>
    <row r="287" spans="2:10" ht="22" x14ac:dyDescent="0.15">
      <c r="B287" s="49" t="s">
        <v>125</v>
      </c>
      <c r="C287" s="15" t="s">
        <v>9</v>
      </c>
      <c r="D287" s="16" t="s">
        <v>10</v>
      </c>
      <c r="E287" s="16" t="s">
        <v>11</v>
      </c>
      <c r="F287" s="17" t="s">
        <v>12</v>
      </c>
      <c r="G287" s="16" t="str">
        <f>IF(D4 = "kg", "Load (kg)", "Load (lbs)")</f>
        <v>Load (lbs)</v>
      </c>
      <c r="H287" s="17" t="s">
        <v>13</v>
      </c>
      <c r="I287" s="17" t="s">
        <v>14</v>
      </c>
      <c r="J287" s="18" t="s">
        <v>15</v>
      </c>
    </row>
    <row r="288" spans="2:10" ht="81" x14ac:dyDescent="0.15">
      <c r="B288" s="50"/>
      <c r="C288" s="47" t="s">
        <v>16</v>
      </c>
      <c r="D288" s="13" t="s">
        <v>75</v>
      </c>
      <c r="E288" s="13">
        <v>5</v>
      </c>
      <c r="F288" s="13">
        <v>3</v>
      </c>
      <c r="G288" s="13">
        <f>IF(D4="kg",MROUND(G8*0.85,2.5),MROUND(G8*0.85,5))</f>
        <v>385</v>
      </c>
      <c r="H288" s="20">
        <v>0.85</v>
      </c>
      <c r="I288" s="21" t="s">
        <v>18</v>
      </c>
      <c r="J288" s="13" t="s">
        <v>76</v>
      </c>
    </row>
    <row r="289" spans="2:10" ht="81" x14ac:dyDescent="0.15">
      <c r="B289" s="50"/>
      <c r="C289" s="42"/>
      <c r="D289" s="13" t="s">
        <v>130</v>
      </c>
      <c r="E289" s="13">
        <v>2</v>
      </c>
      <c r="F289" s="13">
        <v>6</v>
      </c>
      <c r="G289" s="13">
        <f>IF(D4="kg",MROUND(E8*0.7,2.5),MROUND(E8*0.7,5))</f>
        <v>250</v>
      </c>
      <c r="H289" s="20">
        <v>0.7</v>
      </c>
      <c r="I289" s="21" t="s">
        <v>18</v>
      </c>
      <c r="J289" s="13" t="s">
        <v>131</v>
      </c>
    </row>
    <row r="290" spans="2:10" ht="54" x14ac:dyDescent="0.15">
      <c r="B290" s="50"/>
      <c r="C290" s="42"/>
      <c r="D290" s="13" t="s">
        <v>132</v>
      </c>
      <c r="E290" s="13">
        <v>2</v>
      </c>
      <c r="F290" s="13">
        <v>20</v>
      </c>
      <c r="G290" s="13"/>
      <c r="H290" s="13">
        <v>8</v>
      </c>
      <c r="I290" s="21" t="s">
        <v>29</v>
      </c>
      <c r="J290" s="13" t="s">
        <v>133</v>
      </c>
    </row>
    <row r="291" spans="2:10" ht="27" x14ac:dyDescent="0.15">
      <c r="B291" s="50"/>
      <c r="C291" s="42"/>
      <c r="D291" s="13" t="s">
        <v>134</v>
      </c>
      <c r="E291" s="13">
        <v>2</v>
      </c>
      <c r="F291" s="13">
        <v>15</v>
      </c>
      <c r="G291" s="13"/>
      <c r="H291" s="13">
        <v>9</v>
      </c>
      <c r="I291" s="21" t="s">
        <v>29</v>
      </c>
      <c r="J291" s="13" t="s">
        <v>135</v>
      </c>
    </row>
    <row r="292" spans="2:10" ht="54" x14ac:dyDescent="0.15">
      <c r="B292" s="50"/>
      <c r="C292" s="42"/>
      <c r="D292" s="13" t="s">
        <v>136</v>
      </c>
      <c r="E292" s="13">
        <v>2</v>
      </c>
      <c r="F292" s="13">
        <v>12</v>
      </c>
      <c r="G292" s="13"/>
      <c r="H292" s="13">
        <v>9</v>
      </c>
      <c r="I292" s="21" t="s">
        <v>29</v>
      </c>
      <c r="J292" s="13" t="s">
        <v>137</v>
      </c>
    </row>
    <row r="293" spans="2:10" ht="54" x14ac:dyDescent="0.15">
      <c r="B293" s="50"/>
      <c r="C293" s="42"/>
      <c r="D293" s="13" t="s">
        <v>138</v>
      </c>
      <c r="E293" s="13">
        <v>2</v>
      </c>
      <c r="F293" s="13">
        <v>12</v>
      </c>
      <c r="G293" s="13"/>
      <c r="H293" s="13">
        <v>9</v>
      </c>
      <c r="I293" s="21" t="s">
        <v>29</v>
      </c>
      <c r="J293" s="13" t="s">
        <v>137</v>
      </c>
    </row>
    <row r="294" spans="2:10" ht="54" x14ac:dyDescent="0.15">
      <c r="B294" s="50"/>
      <c r="C294" s="42"/>
      <c r="D294" s="13" t="s">
        <v>139</v>
      </c>
      <c r="E294" s="13">
        <v>2</v>
      </c>
      <c r="F294" s="13">
        <v>15</v>
      </c>
      <c r="G294" s="13"/>
      <c r="H294" s="13">
        <v>8</v>
      </c>
      <c r="I294" s="21" t="s">
        <v>29</v>
      </c>
      <c r="J294" s="13" t="s">
        <v>140</v>
      </c>
    </row>
    <row r="295" spans="2:10" ht="81" x14ac:dyDescent="0.15">
      <c r="B295" s="50"/>
      <c r="C295" s="48"/>
      <c r="D295" s="13" t="s">
        <v>141</v>
      </c>
      <c r="E295" s="13">
        <v>3</v>
      </c>
      <c r="F295" s="13">
        <v>8</v>
      </c>
      <c r="G295" s="13"/>
      <c r="H295" s="13">
        <v>8</v>
      </c>
      <c r="I295" s="21" t="s">
        <v>29</v>
      </c>
      <c r="J295" s="13" t="s">
        <v>142</v>
      </c>
    </row>
    <row r="296" spans="2:10" ht="54" x14ac:dyDescent="0.15">
      <c r="B296" s="50"/>
      <c r="C296" s="41" t="s">
        <v>38</v>
      </c>
      <c r="D296" s="24" t="s">
        <v>39</v>
      </c>
      <c r="E296" s="24">
        <v>2</v>
      </c>
      <c r="F296" s="24">
        <v>8</v>
      </c>
      <c r="G296" s="24">
        <f>IF(D4="kg",MROUND(F8*0.775,2.5),MROUND(F8*0.775,5))</f>
        <v>205</v>
      </c>
      <c r="H296" s="31">
        <v>0.77500000000000002</v>
      </c>
      <c r="I296" s="27" t="s">
        <v>25</v>
      </c>
      <c r="J296" s="24" t="s">
        <v>40</v>
      </c>
    </row>
    <row r="297" spans="2:10" ht="54" x14ac:dyDescent="0.15">
      <c r="B297" s="50"/>
      <c r="C297" s="42"/>
      <c r="D297" s="13" t="s">
        <v>143</v>
      </c>
      <c r="E297" s="13">
        <v>2</v>
      </c>
      <c r="F297" s="13">
        <v>12</v>
      </c>
      <c r="G297" s="13"/>
      <c r="H297" s="13">
        <v>9</v>
      </c>
      <c r="I297" s="21" t="s">
        <v>29</v>
      </c>
      <c r="J297" s="13" t="s">
        <v>144</v>
      </c>
    </row>
    <row r="298" spans="2:10" ht="27" x14ac:dyDescent="0.15">
      <c r="B298" s="50"/>
      <c r="C298" s="42"/>
      <c r="D298" s="13" t="s">
        <v>145</v>
      </c>
      <c r="E298" s="13">
        <v>2</v>
      </c>
      <c r="F298" s="13">
        <v>15</v>
      </c>
      <c r="G298" s="13"/>
      <c r="H298" s="13">
        <v>9</v>
      </c>
      <c r="I298" s="21" t="s">
        <v>29</v>
      </c>
      <c r="J298" s="13" t="s">
        <v>90</v>
      </c>
    </row>
    <row r="299" spans="2:10" ht="108" x14ac:dyDescent="0.15">
      <c r="B299" s="50"/>
      <c r="C299" s="42"/>
      <c r="D299" s="13" t="s">
        <v>46</v>
      </c>
      <c r="E299" s="13">
        <v>2</v>
      </c>
      <c r="F299" s="22" t="s">
        <v>57</v>
      </c>
      <c r="G299" s="13"/>
      <c r="H299" s="13">
        <v>10</v>
      </c>
      <c r="I299" s="21" t="s">
        <v>29</v>
      </c>
      <c r="J299" s="13" t="s">
        <v>48</v>
      </c>
    </row>
    <row r="300" spans="2:10" ht="81" x14ac:dyDescent="0.15">
      <c r="B300" s="50"/>
      <c r="C300" s="42"/>
      <c r="D300" s="13" t="s">
        <v>146</v>
      </c>
      <c r="E300" s="13">
        <v>2</v>
      </c>
      <c r="F300" s="13" t="s">
        <v>21</v>
      </c>
      <c r="G300" s="13"/>
      <c r="H300" s="13">
        <v>9</v>
      </c>
      <c r="I300" s="21" t="s">
        <v>29</v>
      </c>
      <c r="J300" s="13" t="s">
        <v>147</v>
      </c>
    </row>
    <row r="301" spans="2:10" ht="54" x14ac:dyDescent="0.15">
      <c r="B301" s="50"/>
      <c r="C301" s="42"/>
      <c r="D301" s="13" t="s">
        <v>148</v>
      </c>
      <c r="E301" s="13">
        <v>2</v>
      </c>
      <c r="F301" s="13" t="s">
        <v>47</v>
      </c>
      <c r="G301" s="13"/>
      <c r="H301" s="13">
        <v>8</v>
      </c>
      <c r="I301" s="21" t="s">
        <v>29</v>
      </c>
      <c r="J301" s="13" t="s">
        <v>149</v>
      </c>
    </row>
    <row r="302" spans="2:10" ht="54" x14ac:dyDescent="0.15">
      <c r="B302" s="50"/>
      <c r="C302" s="42"/>
      <c r="D302" s="13" t="s">
        <v>150</v>
      </c>
      <c r="E302" s="13">
        <v>2</v>
      </c>
      <c r="F302" s="13" t="s">
        <v>47</v>
      </c>
      <c r="G302" s="13"/>
      <c r="H302" s="13">
        <v>9</v>
      </c>
      <c r="I302" s="21" t="s">
        <v>29</v>
      </c>
      <c r="J302" s="13" t="s">
        <v>151</v>
      </c>
    </row>
    <row r="303" spans="2:10" ht="27" x14ac:dyDescent="0.15">
      <c r="B303" s="50"/>
      <c r="C303" s="43"/>
      <c r="D303" s="28" t="s">
        <v>152</v>
      </c>
      <c r="E303" s="28">
        <v>3</v>
      </c>
      <c r="F303" s="28">
        <v>6</v>
      </c>
      <c r="G303" s="28"/>
      <c r="H303" s="28">
        <v>7</v>
      </c>
      <c r="I303" s="30" t="s">
        <v>29</v>
      </c>
      <c r="J303" s="28" t="s">
        <v>153</v>
      </c>
    </row>
    <row r="304" spans="2:10" ht="54" x14ac:dyDescent="0.15">
      <c r="B304" s="50"/>
      <c r="C304" s="47" t="s">
        <v>55</v>
      </c>
      <c r="D304" s="13" t="s">
        <v>56</v>
      </c>
      <c r="E304" s="13">
        <v>2</v>
      </c>
      <c r="F304" s="22" t="s">
        <v>57</v>
      </c>
      <c r="G304" s="13"/>
      <c r="H304" s="13">
        <v>5</v>
      </c>
      <c r="I304" s="21" t="s">
        <v>29</v>
      </c>
      <c r="J304" s="13" t="s">
        <v>58</v>
      </c>
    </row>
    <row r="305" spans="2:10" ht="27" x14ac:dyDescent="0.15">
      <c r="B305" s="50"/>
      <c r="C305" s="42"/>
      <c r="D305" s="13" t="s">
        <v>59</v>
      </c>
      <c r="E305" s="13">
        <v>3</v>
      </c>
      <c r="F305" s="13">
        <v>12</v>
      </c>
      <c r="G305" s="13"/>
      <c r="H305" s="13">
        <v>9</v>
      </c>
      <c r="I305" s="21" t="s">
        <v>25</v>
      </c>
      <c r="J305" s="13" t="s">
        <v>154</v>
      </c>
    </row>
    <row r="306" spans="2:10" ht="54" x14ac:dyDescent="0.15">
      <c r="B306" s="50"/>
      <c r="C306" s="42"/>
      <c r="D306" s="13" t="s">
        <v>155</v>
      </c>
      <c r="E306" s="13">
        <v>3</v>
      </c>
      <c r="F306" s="22" t="s">
        <v>60</v>
      </c>
      <c r="G306" s="13"/>
      <c r="H306" s="13">
        <v>9</v>
      </c>
      <c r="I306" s="21" t="s">
        <v>29</v>
      </c>
      <c r="J306" s="13" t="s">
        <v>156</v>
      </c>
    </row>
    <row r="307" spans="2:10" ht="54" x14ac:dyDescent="0.15">
      <c r="B307" s="50"/>
      <c r="C307" s="42"/>
      <c r="D307" s="13" t="s">
        <v>157</v>
      </c>
      <c r="E307" s="13">
        <v>3</v>
      </c>
      <c r="F307" s="22" t="s">
        <v>24</v>
      </c>
      <c r="G307" s="13"/>
      <c r="H307" s="13">
        <v>9</v>
      </c>
      <c r="I307" s="21" t="s">
        <v>29</v>
      </c>
      <c r="J307" s="13" t="s">
        <v>158</v>
      </c>
    </row>
    <row r="308" spans="2:10" ht="54" x14ac:dyDescent="0.15">
      <c r="B308" s="50"/>
      <c r="C308" s="42"/>
      <c r="D308" s="13" t="s">
        <v>115</v>
      </c>
      <c r="E308" s="13">
        <v>3</v>
      </c>
      <c r="F308" s="13" t="s">
        <v>47</v>
      </c>
      <c r="G308" s="13"/>
      <c r="H308" s="13">
        <v>9</v>
      </c>
      <c r="I308" s="21" t="s">
        <v>29</v>
      </c>
      <c r="J308" s="13" t="s">
        <v>159</v>
      </c>
    </row>
    <row r="309" spans="2:10" ht="54" x14ac:dyDescent="0.15">
      <c r="B309" s="50"/>
      <c r="C309" s="42"/>
      <c r="D309" s="13" t="s">
        <v>160</v>
      </c>
      <c r="E309" s="13">
        <v>3</v>
      </c>
      <c r="F309" s="13">
        <v>20</v>
      </c>
      <c r="G309" s="13"/>
      <c r="H309" s="13">
        <v>9</v>
      </c>
      <c r="I309" s="21" t="s">
        <v>29</v>
      </c>
      <c r="J309" s="13" t="s">
        <v>198</v>
      </c>
    </row>
    <row r="310" spans="2:10" ht="54" x14ac:dyDescent="0.15">
      <c r="B310" s="50"/>
      <c r="C310" s="42"/>
      <c r="D310" s="13" t="s">
        <v>162</v>
      </c>
      <c r="E310" s="13">
        <v>3</v>
      </c>
      <c r="F310" s="13" t="s">
        <v>47</v>
      </c>
      <c r="G310" s="13"/>
      <c r="H310" s="13">
        <v>9</v>
      </c>
      <c r="I310" s="21" t="s">
        <v>29</v>
      </c>
      <c r="J310" s="13" t="s">
        <v>163</v>
      </c>
    </row>
    <row r="311" spans="2:10" ht="54" x14ac:dyDescent="0.15">
      <c r="B311" s="50"/>
      <c r="C311" s="48"/>
      <c r="D311" s="13" t="s">
        <v>164</v>
      </c>
      <c r="E311" s="13">
        <v>3</v>
      </c>
      <c r="F311" s="13" t="s">
        <v>57</v>
      </c>
      <c r="G311" s="13"/>
      <c r="H311" s="13">
        <v>8</v>
      </c>
      <c r="I311" s="21" t="s">
        <v>29</v>
      </c>
      <c r="J311" s="13" t="s">
        <v>165</v>
      </c>
    </row>
    <row r="312" spans="2:10" ht="54" x14ac:dyDescent="0.15">
      <c r="B312" s="50"/>
      <c r="C312" s="41" t="s">
        <v>74</v>
      </c>
      <c r="D312" s="24" t="s">
        <v>17</v>
      </c>
      <c r="E312" s="24">
        <v>4</v>
      </c>
      <c r="F312" s="24">
        <v>4</v>
      </c>
      <c r="G312" s="24">
        <f>IF(D4="kg",MROUND(E8*0.825,2.5),MROUND(E8*0.825,5))</f>
        <v>295</v>
      </c>
      <c r="H312" s="31">
        <v>0.82499999999999996</v>
      </c>
      <c r="I312" s="27" t="s">
        <v>18</v>
      </c>
      <c r="J312" s="24" t="s">
        <v>19</v>
      </c>
    </row>
    <row r="313" spans="2:10" ht="54" x14ac:dyDescent="0.15">
      <c r="B313" s="50"/>
      <c r="C313" s="42"/>
      <c r="D313" s="13" t="s">
        <v>20</v>
      </c>
      <c r="E313" s="13">
        <v>3</v>
      </c>
      <c r="F313" s="22" t="s">
        <v>24</v>
      </c>
      <c r="G313" s="13"/>
      <c r="H313" s="22">
        <v>8</v>
      </c>
      <c r="I313" s="21" t="s">
        <v>25</v>
      </c>
      <c r="J313" s="13" t="s">
        <v>22</v>
      </c>
    </row>
    <row r="314" spans="2:10" ht="54" x14ac:dyDescent="0.15">
      <c r="B314" s="50"/>
      <c r="C314" s="42"/>
      <c r="D314" s="13" t="s">
        <v>166</v>
      </c>
      <c r="E314" s="13">
        <v>2</v>
      </c>
      <c r="F314" s="13">
        <v>10</v>
      </c>
      <c r="G314" s="13"/>
      <c r="H314" s="13">
        <v>9</v>
      </c>
      <c r="I314" s="21" t="s">
        <v>25</v>
      </c>
      <c r="J314" s="13" t="s">
        <v>167</v>
      </c>
    </row>
    <row r="315" spans="2:10" ht="54" x14ac:dyDescent="0.15">
      <c r="B315" s="50"/>
      <c r="C315" s="42"/>
      <c r="D315" s="13" t="s">
        <v>168</v>
      </c>
      <c r="E315" s="13">
        <v>2</v>
      </c>
      <c r="F315" s="13">
        <v>12</v>
      </c>
      <c r="G315" s="13"/>
      <c r="H315" s="13">
        <v>8</v>
      </c>
      <c r="I315" s="21" t="s">
        <v>29</v>
      </c>
      <c r="J315" s="13" t="s">
        <v>169</v>
      </c>
    </row>
    <row r="316" spans="2:10" ht="54" x14ac:dyDescent="0.15">
      <c r="B316" s="50"/>
      <c r="C316" s="42"/>
      <c r="D316" s="13" t="s">
        <v>170</v>
      </c>
      <c r="E316" s="13">
        <v>2</v>
      </c>
      <c r="F316" s="13">
        <v>15</v>
      </c>
      <c r="G316" s="13"/>
      <c r="H316" s="13">
        <v>9</v>
      </c>
      <c r="I316" s="21" t="s">
        <v>29</v>
      </c>
      <c r="J316" s="13" t="s">
        <v>35</v>
      </c>
    </row>
    <row r="317" spans="2:10" ht="54" x14ac:dyDescent="0.15">
      <c r="B317" s="50"/>
      <c r="C317" s="42"/>
      <c r="D317" s="13" t="s">
        <v>171</v>
      </c>
      <c r="E317" s="13">
        <v>2</v>
      </c>
      <c r="F317" s="13">
        <v>20</v>
      </c>
      <c r="G317" s="13"/>
      <c r="H317" s="13">
        <v>8</v>
      </c>
      <c r="I317" s="21" t="s">
        <v>29</v>
      </c>
      <c r="J317" s="13" t="s">
        <v>172</v>
      </c>
    </row>
    <row r="318" spans="2:10" ht="54" x14ac:dyDescent="0.15">
      <c r="B318" s="50"/>
      <c r="C318" s="43"/>
      <c r="D318" s="28" t="s">
        <v>36</v>
      </c>
      <c r="E318" s="28">
        <v>3</v>
      </c>
      <c r="F318" s="28">
        <v>12</v>
      </c>
      <c r="G318" s="28"/>
      <c r="H318" s="28">
        <v>8</v>
      </c>
      <c r="I318" s="30" t="s">
        <v>29</v>
      </c>
      <c r="J318" s="28" t="s">
        <v>173</v>
      </c>
    </row>
    <row r="319" spans="2:10" ht="54" x14ac:dyDescent="0.15">
      <c r="B319" s="50"/>
      <c r="C319" s="44" t="s">
        <v>87</v>
      </c>
      <c r="D319" s="13" t="s">
        <v>39</v>
      </c>
      <c r="E319" s="13">
        <v>4</v>
      </c>
      <c r="F319" s="13">
        <v>5</v>
      </c>
      <c r="G319" s="13">
        <f>IF(D4="kg",MROUND(F8*0.825,2.5),MROUND(F8*0.825,5))</f>
        <v>220</v>
      </c>
      <c r="H319" s="36">
        <v>0.82499999999999996</v>
      </c>
      <c r="I319" s="21" t="s">
        <v>25</v>
      </c>
      <c r="J319" s="13" t="s">
        <v>174</v>
      </c>
    </row>
    <row r="320" spans="2:10" ht="54" x14ac:dyDescent="0.15">
      <c r="B320" s="50"/>
      <c r="C320" s="45"/>
      <c r="D320" s="13" t="s">
        <v>175</v>
      </c>
      <c r="E320" s="13">
        <v>3</v>
      </c>
      <c r="F320" s="13" t="s">
        <v>176</v>
      </c>
      <c r="G320" s="13">
        <f>IF(D4="kg",MROUND(H8*0.825,2.5),MROUND(H8*0.825,5))</f>
        <v>135</v>
      </c>
      <c r="H320" s="36">
        <v>0.82499999999999996</v>
      </c>
      <c r="I320" s="21" t="s">
        <v>25</v>
      </c>
      <c r="J320" s="13" t="s">
        <v>177</v>
      </c>
    </row>
    <row r="321" spans="2:10" ht="54" x14ac:dyDescent="0.15">
      <c r="B321" s="50"/>
      <c r="C321" s="45"/>
      <c r="D321" s="13" t="s">
        <v>178</v>
      </c>
      <c r="E321" s="13">
        <v>3</v>
      </c>
      <c r="F321" s="22" t="s">
        <v>179</v>
      </c>
      <c r="G321" s="13"/>
      <c r="H321" s="13">
        <v>8</v>
      </c>
      <c r="I321" s="21" t="s">
        <v>29</v>
      </c>
      <c r="J321" s="13" t="s">
        <v>180</v>
      </c>
    </row>
    <row r="322" spans="2:10" ht="54" x14ac:dyDescent="0.15">
      <c r="B322" s="50"/>
      <c r="C322" s="45"/>
      <c r="D322" s="13" t="s">
        <v>181</v>
      </c>
      <c r="E322" s="13">
        <v>3</v>
      </c>
      <c r="F322" s="13" t="s">
        <v>47</v>
      </c>
      <c r="G322" s="13"/>
      <c r="H322" s="13">
        <v>9</v>
      </c>
      <c r="I322" s="21" t="s">
        <v>29</v>
      </c>
      <c r="J322" s="13" t="s">
        <v>182</v>
      </c>
    </row>
    <row r="323" spans="2:10" ht="54" x14ac:dyDescent="0.15">
      <c r="B323" s="50"/>
      <c r="C323" s="45"/>
      <c r="D323" s="13" t="s">
        <v>183</v>
      </c>
      <c r="E323" s="13">
        <v>3</v>
      </c>
      <c r="F323" s="13" t="s">
        <v>57</v>
      </c>
      <c r="G323" s="13"/>
      <c r="H323" s="13">
        <v>9</v>
      </c>
      <c r="I323" s="21" t="s">
        <v>29</v>
      </c>
      <c r="J323" s="13" t="s">
        <v>98</v>
      </c>
    </row>
    <row r="324" spans="2:10" ht="54" x14ac:dyDescent="0.15">
      <c r="B324" s="50"/>
      <c r="C324" s="46"/>
      <c r="D324" s="13" t="s">
        <v>184</v>
      </c>
      <c r="E324" s="13">
        <v>3</v>
      </c>
      <c r="F324" s="13" t="s">
        <v>185</v>
      </c>
      <c r="G324" s="13"/>
      <c r="H324" s="13">
        <v>7</v>
      </c>
      <c r="I324" s="21" t="s">
        <v>29</v>
      </c>
      <c r="J324" s="13" t="s">
        <v>186</v>
      </c>
    </row>
    <row r="325" spans="2:10" ht="54" x14ac:dyDescent="0.15">
      <c r="B325" s="50"/>
      <c r="C325" s="41" t="s">
        <v>103</v>
      </c>
      <c r="D325" s="24" t="s">
        <v>187</v>
      </c>
      <c r="E325" s="24">
        <v>3</v>
      </c>
      <c r="F325" s="24">
        <v>12</v>
      </c>
      <c r="G325" s="24"/>
      <c r="H325" s="24">
        <v>9</v>
      </c>
      <c r="I325" s="27" t="s">
        <v>25</v>
      </c>
      <c r="J325" s="24" t="s">
        <v>188</v>
      </c>
    </row>
    <row r="326" spans="2:10" ht="54" x14ac:dyDescent="0.15">
      <c r="B326" s="50"/>
      <c r="C326" s="42"/>
      <c r="D326" s="13" t="s">
        <v>189</v>
      </c>
      <c r="E326" s="13">
        <v>3</v>
      </c>
      <c r="F326" s="13" t="s">
        <v>21</v>
      </c>
      <c r="G326" s="13"/>
      <c r="H326" s="13">
        <v>8</v>
      </c>
      <c r="I326" s="21" t="s">
        <v>25</v>
      </c>
      <c r="J326" s="13" t="s">
        <v>190</v>
      </c>
    </row>
    <row r="327" spans="2:10" ht="54" x14ac:dyDescent="0.15">
      <c r="B327" s="50"/>
      <c r="C327" s="42"/>
      <c r="D327" s="13" t="s">
        <v>110</v>
      </c>
      <c r="E327" s="13">
        <v>3</v>
      </c>
      <c r="F327" s="13" t="s">
        <v>57</v>
      </c>
      <c r="G327" s="13"/>
      <c r="H327" s="13">
        <v>9</v>
      </c>
      <c r="I327" s="21" t="s">
        <v>29</v>
      </c>
      <c r="J327" s="13" t="s">
        <v>111</v>
      </c>
    </row>
    <row r="328" spans="2:10" ht="54" x14ac:dyDescent="0.15">
      <c r="B328" s="50"/>
      <c r="C328" s="42"/>
      <c r="D328" s="13" t="s">
        <v>191</v>
      </c>
      <c r="E328" s="13">
        <v>3</v>
      </c>
      <c r="F328" s="13">
        <v>15</v>
      </c>
      <c r="G328" s="13"/>
      <c r="H328" s="13">
        <v>9</v>
      </c>
      <c r="I328" s="21" t="s">
        <v>29</v>
      </c>
      <c r="J328" s="13" t="s">
        <v>192</v>
      </c>
    </row>
    <row r="329" spans="2:10" ht="54" x14ac:dyDescent="0.15">
      <c r="B329" s="50"/>
      <c r="C329" s="42"/>
      <c r="D329" s="13" t="s">
        <v>193</v>
      </c>
      <c r="E329" s="13">
        <v>4</v>
      </c>
      <c r="F329" s="13">
        <v>8</v>
      </c>
      <c r="G329" s="13"/>
      <c r="H329" s="13">
        <v>10</v>
      </c>
      <c r="I329" s="21" t="s">
        <v>32</v>
      </c>
      <c r="J329" s="13" t="s">
        <v>194</v>
      </c>
    </row>
    <row r="330" spans="2:10" ht="54" x14ac:dyDescent="0.15">
      <c r="B330" s="50"/>
      <c r="C330" s="42"/>
      <c r="D330" s="13" t="s">
        <v>195</v>
      </c>
      <c r="E330" s="13">
        <v>4</v>
      </c>
      <c r="F330" s="13">
        <v>8</v>
      </c>
      <c r="G330" s="13"/>
      <c r="H330" s="13">
        <v>10</v>
      </c>
      <c r="I330" s="21" t="s">
        <v>32</v>
      </c>
      <c r="J330" s="13" t="s">
        <v>194</v>
      </c>
    </row>
    <row r="331" spans="2:10" ht="54" x14ac:dyDescent="0.15">
      <c r="B331" s="51"/>
      <c r="C331" s="43"/>
      <c r="D331" s="28" t="s">
        <v>196</v>
      </c>
      <c r="E331" s="28">
        <v>4</v>
      </c>
      <c r="F331" s="28">
        <v>8</v>
      </c>
      <c r="G331" s="28"/>
      <c r="H331" s="28">
        <v>10</v>
      </c>
      <c r="I331" s="30" t="s">
        <v>29</v>
      </c>
      <c r="J331" s="28" t="s">
        <v>197</v>
      </c>
    </row>
    <row r="332" spans="2:10" ht="26" x14ac:dyDescent="0.2">
      <c r="C332" s="33"/>
      <c r="D332" s="13"/>
      <c r="E332" s="34"/>
      <c r="F332" s="35"/>
    </row>
    <row r="333" spans="2:10" ht="22" x14ac:dyDescent="0.15">
      <c r="B333" s="52" t="s">
        <v>126</v>
      </c>
      <c r="C333" s="15" t="s">
        <v>9</v>
      </c>
      <c r="D333" s="16" t="s">
        <v>10</v>
      </c>
      <c r="E333" s="16" t="s">
        <v>11</v>
      </c>
      <c r="F333" s="17" t="s">
        <v>12</v>
      </c>
      <c r="G333" s="16" t="str">
        <f>IF(D4 = "kg", "Load (kg)", "Load (lbs)")</f>
        <v>Load (lbs)</v>
      </c>
      <c r="H333" s="17" t="s">
        <v>13</v>
      </c>
      <c r="I333" s="17" t="s">
        <v>14</v>
      </c>
      <c r="J333" s="18" t="s">
        <v>15</v>
      </c>
    </row>
    <row r="334" spans="2:10" ht="54" x14ac:dyDescent="0.15">
      <c r="B334" s="50"/>
      <c r="C334" s="47" t="s">
        <v>16</v>
      </c>
      <c r="D334" s="13" t="s">
        <v>75</v>
      </c>
      <c r="E334" s="13">
        <v>1</v>
      </c>
      <c r="F334" s="13" t="s">
        <v>199</v>
      </c>
      <c r="G334" s="13">
        <f>IF(D4="kg",MROUND(G8*0.9,2.5),MROUND(G8*0.9,5))</f>
        <v>410</v>
      </c>
      <c r="H334" s="20">
        <v>0.9</v>
      </c>
      <c r="I334" s="21" t="s">
        <v>18</v>
      </c>
      <c r="J334" s="13" t="s">
        <v>200</v>
      </c>
    </row>
    <row r="335" spans="2:10" ht="81" x14ac:dyDescent="0.15">
      <c r="B335" s="50"/>
      <c r="C335" s="42"/>
      <c r="D335" s="13" t="s">
        <v>130</v>
      </c>
      <c r="E335" s="13">
        <v>2</v>
      </c>
      <c r="F335" s="13">
        <v>6</v>
      </c>
      <c r="G335" s="13">
        <f>IF(D4="kg",MROUND(E8*0.7,2.5),MROUND(E8*0.7,5))</f>
        <v>250</v>
      </c>
      <c r="H335" s="20">
        <v>0.7</v>
      </c>
      <c r="I335" s="21" t="s">
        <v>18</v>
      </c>
      <c r="J335" s="13" t="s">
        <v>131</v>
      </c>
    </row>
    <row r="336" spans="2:10" ht="54" x14ac:dyDescent="0.15">
      <c r="B336" s="50"/>
      <c r="C336" s="42"/>
      <c r="D336" s="13" t="s">
        <v>132</v>
      </c>
      <c r="E336" s="13">
        <v>2</v>
      </c>
      <c r="F336" s="13">
        <v>20</v>
      </c>
      <c r="G336" s="13"/>
      <c r="H336" s="13">
        <v>8</v>
      </c>
      <c r="I336" s="21" t="s">
        <v>29</v>
      </c>
      <c r="J336" s="13" t="s">
        <v>133</v>
      </c>
    </row>
    <row r="337" spans="2:10" ht="27" x14ac:dyDescent="0.15">
      <c r="B337" s="50"/>
      <c r="C337" s="42"/>
      <c r="D337" s="13" t="s">
        <v>134</v>
      </c>
      <c r="E337" s="13">
        <v>2</v>
      </c>
      <c r="F337" s="13">
        <v>15</v>
      </c>
      <c r="G337" s="13"/>
      <c r="H337" s="13">
        <v>9</v>
      </c>
      <c r="I337" s="21" t="s">
        <v>29</v>
      </c>
      <c r="J337" s="13" t="s">
        <v>135</v>
      </c>
    </row>
    <row r="338" spans="2:10" ht="54" x14ac:dyDescent="0.15">
      <c r="B338" s="50"/>
      <c r="C338" s="42"/>
      <c r="D338" s="13" t="s">
        <v>136</v>
      </c>
      <c r="E338" s="13">
        <v>2</v>
      </c>
      <c r="F338" s="13">
        <v>12</v>
      </c>
      <c r="G338" s="13"/>
      <c r="H338" s="13">
        <v>9</v>
      </c>
      <c r="I338" s="21" t="s">
        <v>29</v>
      </c>
      <c r="J338" s="13" t="s">
        <v>137</v>
      </c>
    </row>
    <row r="339" spans="2:10" ht="54" x14ac:dyDescent="0.15">
      <c r="B339" s="50"/>
      <c r="C339" s="42"/>
      <c r="D339" s="13" t="s">
        <v>138</v>
      </c>
      <c r="E339" s="13">
        <v>2</v>
      </c>
      <c r="F339" s="13">
        <v>12</v>
      </c>
      <c r="G339" s="13"/>
      <c r="H339" s="13">
        <v>9</v>
      </c>
      <c r="I339" s="21" t="s">
        <v>29</v>
      </c>
      <c r="J339" s="13" t="s">
        <v>137</v>
      </c>
    </row>
    <row r="340" spans="2:10" ht="54" x14ac:dyDescent="0.15">
      <c r="B340" s="50"/>
      <c r="C340" s="42"/>
      <c r="D340" s="13" t="s">
        <v>139</v>
      </c>
      <c r="E340" s="13">
        <v>2</v>
      </c>
      <c r="F340" s="13">
        <v>15</v>
      </c>
      <c r="G340" s="13"/>
      <c r="H340" s="13">
        <v>8</v>
      </c>
      <c r="I340" s="21" t="s">
        <v>29</v>
      </c>
      <c r="J340" s="13" t="s">
        <v>140</v>
      </c>
    </row>
    <row r="341" spans="2:10" ht="81" x14ac:dyDescent="0.15">
      <c r="B341" s="50"/>
      <c r="C341" s="48"/>
      <c r="D341" s="13" t="s">
        <v>141</v>
      </c>
      <c r="E341" s="13">
        <v>3</v>
      </c>
      <c r="F341" s="13">
        <v>8</v>
      </c>
      <c r="G341" s="13"/>
      <c r="H341" s="13">
        <v>8</v>
      </c>
      <c r="I341" s="21" t="s">
        <v>29</v>
      </c>
      <c r="J341" s="13" t="s">
        <v>142</v>
      </c>
    </row>
    <row r="342" spans="2:10" ht="54" x14ac:dyDescent="0.15">
      <c r="B342" s="50"/>
      <c r="C342" s="41" t="s">
        <v>38</v>
      </c>
      <c r="D342" s="24" t="s">
        <v>39</v>
      </c>
      <c r="E342" s="24">
        <v>1</v>
      </c>
      <c r="F342" s="24" t="s">
        <v>201</v>
      </c>
      <c r="G342" s="24">
        <f>IF(D4="kg",MROUND(F8*0.85,2.5),MROUND(F8*0.85,5))</f>
        <v>225</v>
      </c>
      <c r="H342" s="26">
        <v>0.85</v>
      </c>
      <c r="I342" s="27" t="s">
        <v>25</v>
      </c>
      <c r="J342" s="24" t="s">
        <v>202</v>
      </c>
    </row>
    <row r="343" spans="2:10" ht="54" x14ac:dyDescent="0.15">
      <c r="B343" s="50"/>
      <c r="C343" s="42"/>
      <c r="D343" s="13" t="s">
        <v>143</v>
      </c>
      <c r="E343" s="13">
        <v>2</v>
      </c>
      <c r="F343" s="13">
        <v>12</v>
      </c>
      <c r="G343" s="13"/>
      <c r="H343" s="13">
        <v>9</v>
      </c>
      <c r="I343" s="21" t="s">
        <v>29</v>
      </c>
      <c r="J343" s="13" t="s">
        <v>144</v>
      </c>
    </row>
    <row r="344" spans="2:10" ht="27" x14ac:dyDescent="0.15">
      <c r="B344" s="50"/>
      <c r="C344" s="42"/>
      <c r="D344" s="13" t="s">
        <v>145</v>
      </c>
      <c r="E344" s="13">
        <v>2</v>
      </c>
      <c r="F344" s="13">
        <v>15</v>
      </c>
      <c r="G344" s="13"/>
      <c r="H344" s="13">
        <v>9</v>
      </c>
      <c r="I344" s="21" t="s">
        <v>29</v>
      </c>
      <c r="J344" s="13" t="s">
        <v>90</v>
      </c>
    </row>
    <row r="345" spans="2:10" ht="108" x14ac:dyDescent="0.15">
      <c r="B345" s="50"/>
      <c r="C345" s="42"/>
      <c r="D345" s="13" t="s">
        <v>46</v>
      </c>
      <c r="E345" s="13">
        <v>2</v>
      </c>
      <c r="F345" s="22" t="s">
        <v>57</v>
      </c>
      <c r="G345" s="13"/>
      <c r="H345" s="13">
        <v>10</v>
      </c>
      <c r="I345" s="21" t="s">
        <v>29</v>
      </c>
      <c r="J345" s="13" t="s">
        <v>48</v>
      </c>
    </row>
    <row r="346" spans="2:10" ht="81" x14ac:dyDescent="0.15">
      <c r="B346" s="50"/>
      <c r="C346" s="42"/>
      <c r="D346" s="13" t="s">
        <v>146</v>
      </c>
      <c r="E346" s="13">
        <v>2</v>
      </c>
      <c r="F346" s="13" t="s">
        <v>21</v>
      </c>
      <c r="G346" s="13"/>
      <c r="H346" s="13">
        <v>9</v>
      </c>
      <c r="I346" s="21" t="s">
        <v>29</v>
      </c>
      <c r="J346" s="13" t="s">
        <v>147</v>
      </c>
    </row>
    <row r="347" spans="2:10" ht="54" x14ac:dyDescent="0.15">
      <c r="B347" s="50"/>
      <c r="C347" s="42"/>
      <c r="D347" s="13" t="s">
        <v>148</v>
      </c>
      <c r="E347" s="13">
        <v>2</v>
      </c>
      <c r="F347" s="13" t="s">
        <v>47</v>
      </c>
      <c r="G347" s="13"/>
      <c r="H347" s="13">
        <v>8</v>
      </c>
      <c r="I347" s="21" t="s">
        <v>29</v>
      </c>
      <c r="J347" s="13" t="s">
        <v>149</v>
      </c>
    </row>
    <row r="348" spans="2:10" ht="54" x14ac:dyDescent="0.15">
      <c r="B348" s="50"/>
      <c r="C348" s="42"/>
      <c r="D348" s="13" t="s">
        <v>150</v>
      </c>
      <c r="E348" s="13">
        <v>2</v>
      </c>
      <c r="F348" s="13" t="s">
        <v>47</v>
      </c>
      <c r="G348" s="13"/>
      <c r="H348" s="13">
        <v>9</v>
      </c>
      <c r="I348" s="21" t="s">
        <v>29</v>
      </c>
      <c r="J348" s="13" t="s">
        <v>151</v>
      </c>
    </row>
    <row r="349" spans="2:10" ht="27" x14ac:dyDescent="0.15">
      <c r="B349" s="50"/>
      <c r="C349" s="43"/>
      <c r="D349" s="28" t="s">
        <v>152</v>
      </c>
      <c r="E349" s="28">
        <v>3</v>
      </c>
      <c r="F349" s="28">
        <v>6</v>
      </c>
      <c r="G349" s="28"/>
      <c r="H349" s="28">
        <v>7</v>
      </c>
      <c r="I349" s="30" t="s">
        <v>29</v>
      </c>
      <c r="J349" s="28" t="s">
        <v>153</v>
      </c>
    </row>
    <row r="350" spans="2:10" ht="54" x14ac:dyDescent="0.15">
      <c r="B350" s="50"/>
      <c r="C350" s="47" t="s">
        <v>55</v>
      </c>
      <c r="D350" s="13" t="s">
        <v>56</v>
      </c>
      <c r="E350" s="13">
        <v>2</v>
      </c>
      <c r="F350" s="22" t="s">
        <v>57</v>
      </c>
      <c r="G350" s="13"/>
      <c r="H350" s="13">
        <v>5</v>
      </c>
      <c r="I350" s="21" t="s">
        <v>29</v>
      </c>
      <c r="J350" s="13" t="s">
        <v>58</v>
      </c>
    </row>
    <row r="351" spans="2:10" ht="27" x14ac:dyDescent="0.15">
      <c r="B351" s="50"/>
      <c r="C351" s="42"/>
      <c r="D351" s="13" t="s">
        <v>59</v>
      </c>
      <c r="E351" s="13">
        <v>3</v>
      </c>
      <c r="F351" s="13">
        <v>12</v>
      </c>
      <c r="G351" s="13"/>
      <c r="H351" s="13">
        <v>9</v>
      </c>
      <c r="I351" s="21" t="s">
        <v>25</v>
      </c>
      <c r="J351" s="13" t="s">
        <v>154</v>
      </c>
    </row>
    <row r="352" spans="2:10" ht="54" x14ac:dyDescent="0.15">
      <c r="B352" s="50"/>
      <c r="C352" s="42"/>
      <c r="D352" s="13" t="s">
        <v>155</v>
      </c>
      <c r="E352" s="13">
        <v>3</v>
      </c>
      <c r="F352" s="22" t="s">
        <v>60</v>
      </c>
      <c r="G352" s="13"/>
      <c r="H352" s="13">
        <v>9</v>
      </c>
      <c r="I352" s="21" t="s">
        <v>29</v>
      </c>
      <c r="J352" s="13" t="s">
        <v>156</v>
      </c>
    </row>
    <row r="353" spans="2:10" ht="54" x14ac:dyDescent="0.15">
      <c r="B353" s="50"/>
      <c r="C353" s="42"/>
      <c r="D353" s="13" t="s">
        <v>157</v>
      </c>
      <c r="E353" s="13">
        <v>3</v>
      </c>
      <c r="F353" s="22" t="s">
        <v>24</v>
      </c>
      <c r="G353" s="13"/>
      <c r="H353" s="13">
        <v>9</v>
      </c>
      <c r="I353" s="21" t="s">
        <v>29</v>
      </c>
      <c r="J353" s="13" t="s">
        <v>158</v>
      </c>
    </row>
    <row r="354" spans="2:10" ht="54" x14ac:dyDescent="0.15">
      <c r="B354" s="50"/>
      <c r="C354" s="42"/>
      <c r="D354" s="13" t="s">
        <v>115</v>
      </c>
      <c r="E354" s="13">
        <v>3</v>
      </c>
      <c r="F354" s="13" t="s">
        <v>47</v>
      </c>
      <c r="G354" s="13"/>
      <c r="H354" s="13">
        <v>9</v>
      </c>
      <c r="I354" s="21" t="s">
        <v>29</v>
      </c>
      <c r="J354" s="13" t="s">
        <v>159</v>
      </c>
    </row>
    <row r="355" spans="2:10" ht="54" x14ac:dyDescent="0.15">
      <c r="B355" s="50"/>
      <c r="C355" s="42"/>
      <c r="D355" s="13" t="s">
        <v>160</v>
      </c>
      <c r="E355" s="13">
        <v>3</v>
      </c>
      <c r="F355" s="13">
        <v>20</v>
      </c>
      <c r="G355" s="13"/>
      <c r="H355" s="13">
        <v>9</v>
      </c>
      <c r="I355" s="21" t="s">
        <v>29</v>
      </c>
      <c r="J355" s="13" t="s">
        <v>198</v>
      </c>
    </row>
    <row r="356" spans="2:10" ht="54" x14ac:dyDescent="0.15">
      <c r="B356" s="50"/>
      <c r="C356" s="42"/>
      <c r="D356" s="13" t="s">
        <v>162</v>
      </c>
      <c r="E356" s="13">
        <v>3</v>
      </c>
      <c r="F356" s="13" t="s">
        <v>47</v>
      </c>
      <c r="G356" s="13"/>
      <c r="H356" s="13">
        <v>9</v>
      </c>
      <c r="I356" s="21" t="s">
        <v>29</v>
      </c>
      <c r="J356" s="13" t="s">
        <v>163</v>
      </c>
    </row>
    <row r="357" spans="2:10" ht="54" x14ac:dyDescent="0.15">
      <c r="B357" s="50"/>
      <c r="C357" s="48"/>
      <c r="D357" s="13" t="s">
        <v>164</v>
      </c>
      <c r="E357" s="13">
        <v>3</v>
      </c>
      <c r="F357" s="13" t="s">
        <v>57</v>
      </c>
      <c r="G357" s="13"/>
      <c r="H357" s="13">
        <v>8</v>
      </c>
      <c r="I357" s="21" t="s">
        <v>29</v>
      </c>
      <c r="J357" s="13" t="s">
        <v>165</v>
      </c>
    </row>
    <row r="358" spans="2:10" ht="54" x14ac:dyDescent="0.15">
      <c r="B358" s="50"/>
      <c r="C358" s="41" t="s">
        <v>74</v>
      </c>
      <c r="D358" s="24" t="s">
        <v>17</v>
      </c>
      <c r="E358" s="24">
        <v>4</v>
      </c>
      <c r="F358" s="24">
        <v>5</v>
      </c>
      <c r="G358" s="24">
        <f>IF(D4="kg",MROUND(E8*0.825,2.5),MROUND(E8*0.825,5))</f>
        <v>295</v>
      </c>
      <c r="H358" s="31">
        <v>0.82499999999999996</v>
      </c>
      <c r="I358" s="27" t="s">
        <v>18</v>
      </c>
      <c r="J358" s="24" t="s">
        <v>19</v>
      </c>
    </row>
    <row r="359" spans="2:10" ht="54" x14ac:dyDescent="0.15">
      <c r="B359" s="50"/>
      <c r="C359" s="42"/>
      <c r="D359" s="13" t="s">
        <v>20</v>
      </c>
      <c r="E359" s="13">
        <v>3</v>
      </c>
      <c r="F359" s="22" t="s">
        <v>24</v>
      </c>
      <c r="G359" s="13"/>
      <c r="H359" s="22">
        <v>8</v>
      </c>
      <c r="I359" s="21" t="s">
        <v>25</v>
      </c>
      <c r="J359" s="13" t="s">
        <v>22</v>
      </c>
    </row>
    <row r="360" spans="2:10" ht="54" x14ac:dyDescent="0.15">
      <c r="B360" s="50"/>
      <c r="C360" s="42"/>
      <c r="D360" s="13" t="s">
        <v>166</v>
      </c>
      <c r="E360" s="13">
        <v>2</v>
      </c>
      <c r="F360" s="13">
        <v>10</v>
      </c>
      <c r="G360" s="13"/>
      <c r="H360" s="13">
        <v>9</v>
      </c>
      <c r="I360" s="21" t="s">
        <v>25</v>
      </c>
      <c r="J360" s="13" t="s">
        <v>167</v>
      </c>
    </row>
    <row r="361" spans="2:10" ht="54" x14ac:dyDescent="0.15">
      <c r="B361" s="50"/>
      <c r="C361" s="42"/>
      <c r="D361" s="13" t="s">
        <v>168</v>
      </c>
      <c r="E361" s="13">
        <v>2</v>
      </c>
      <c r="F361" s="13">
        <v>12</v>
      </c>
      <c r="G361" s="13"/>
      <c r="H361" s="13">
        <v>8</v>
      </c>
      <c r="I361" s="21" t="s">
        <v>29</v>
      </c>
      <c r="J361" s="13" t="s">
        <v>169</v>
      </c>
    </row>
    <row r="362" spans="2:10" ht="54" x14ac:dyDescent="0.15">
      <c r="B362" s="50"/>
      <c r="C362" s="42"/>
      <c r="D362" s="13" t="s">
        <v>170</v>
      </c>
      <c r="E362" s="13">
        <v>2</v>
      </c>
      <c r="F362" s="13">
        <v>15</v>
      </c>
      <c r="G362" s="13"/>
      <c r="H362" s="13">
        <v>9</v>
      </c>
      <c r="I362" s="21" t="s">
        <v>29</v>
      </c>
      <c r="J362" s="13" t="s">
        <v>35</v>
      </c>
    </row>
    <row r="363" spans="2:10" ht="54" x14ac:dyDescent="0.15">
      <c r="B363" s="50"/>
      <c r="C363" s="42"/>
      <c r="D363" s="13" t="s">
        <v>171</v>
      </c>
      <c r="E363" s="13">
        <v>2</v>
      </c>
      <c r="F363" s="13">
        <v>20</v>
      </c>
      <c r="G363" s="13"/>
      <c r="H363" s="13">
        <v>8</v>
      </c>
      <c r="I363" s="21" t="s">
        <v>29</v>
      </c>
      <c r="J363" s="13" t="s">
        <v>172</v>
      </c>
    </row>
    <row r="364" spans="2:10" ht="54" x14ac:dyDescent="0.15">
      <c r="B364" s="50"/>
      <c r="C364" s="43"/>
      <c r="D364" s="28" t="s">
        <v>36</v>
      </c>
      <c r="E364" s="28">
        <v>3</v>
      </c>
      <c r="F364" s="28">
        <v>12</v>
      </c>
      <c r="G364" s="28"/>
      <c r="H364" s="28">
        <v>8</v>
      </c>
      <c r="I364" s="30" t="s">
        <v>29</v>
      </c>
      <c r="J364" s="28" t="s">
        <v>173</v>
      </c>
    </row>
    <row r="365" spans="2:10" ht="54" x14ac:dyDescent="0.15">
      <c r="B365" s="50"/>
      <c r="C365" s="44" t="s">
        <v>87</v>
      </c>
      <c r="D365" s="13" t="s">
        <v>39</v>
      </c>
      <c r="E365" s="13">
        <v>2</v>
      </c>
      <c r="F365" s="13">
        <v>5</v>
      </c>
      <c r="G365" s="13">
        <f>IF(D4="kg",MROUND(F8*0.775,2.5),MROUND(F8*0.775,5))</f>
        <v>205</v>
      </c>
      <c r="H365" s="36">
        <v>0.77500000000000002</v>
      </c>
      <c r="I365" s="21" t="s">
        <v>25</v>
      </c>
      <c r="J365" s="13" t="s">
        <v>174</v>
      </c>
    </row>
    <row r="366" spans="2:10" ht="54" x14ac:dyDescent="0.15">
      <c r="B366" s="50"/>
      <c r="C366" s="45"/>
      <c r="D366" s="13" t="s">
        <v>175</v>
      </c>
      <c r="E366" s="13">
        <v>3</v>
      </c>
      <c r="F366" s="13" t="s">
        <v>176</v>
      </c>
      <c r="G366" s="13">
        <f>IF(D4="kg",MROUND(H8*0.825,2.5),MROUND(H8*0.825,5))</f>
        <v>135</v>
      </c>
      <c r="H366" s="36">
        <v>0.82499999999999996</v>
      </c>
      <c r="I366" s="21" t="s">
        <v>25</v>
      </c>
      <c r="J366" s="13" t="s">
        <v>177</v>
      </c>
    </row>
    <row r="367" spans="2:10" ht="54" x14ac:dyDescent="0.15">
      <c r="B367" s="50"/>
      <c r="C367" s="45"/>
      <c r="D367" s="13" t="s">
        <v>178</v>
      </c>
      <c r="E367" s="13">
        <v>3</v>
      </c>
      <c r="F367" s="22" t="s">
        <v>179</v>
      </c>
      <c r="G367" s="13"/>
      <c r="H367" s="13">
        <v>8</v>
      </c>
      <c r="I367" s="21" t="s">
        <v>29</v>
      </c>
      <c r="J367" s="13" t="s">
        <v>180</v>
      </c>
    </row>
    <row r="368" spans="2:10" ht="54" x14ac:dyDescent="0.15">
      <c r="B368" s="50"/>
      <c r="C368" s="45"/>
      <c r="D368" s="13" t="s">
        <v>181</v>
      </c>
      <c r="E368" s="13">
        <v>3</v>
      </c>
      <c r="F368" s="13" t="s">
        <v>47</v>
      </c>
      <c r="G368" s="13"/>
      <c r="H368" s="13">
        <v>9</v>
      </c>
      <c r="I368" s="21" t="s">
        <v>29</v>
      </c>
      <c r="J368" s="13" t="s">
        <v>182</v>
      </c>
    </row>
    <row r="369" spans="2:10" ht="54" x14ac:dyDescent="0.15">
      <c r="B369" s="50"/>
      <c r="C369" s="45"/>
      <c r="D369" s="13" t="s">
        <v>183</v>
      </c>
      <c r="E369" s="13">
        <v>3</v>
      </c>
      <c r="F369" s="13" t="s">
        <v>57</v>
      </c>
      <c r="G369" s="13"/>
      <c r="H369" s="13">
        <v>9</v>
      </c>
      <c r="I369" s="21" t="s">
        <v>29</v>
      </c>
      <c r="J369" s="13" t="s">
        <v>98</v>
      </c>
    </row>
    <row r="370" spans="2:10" ht="54" x14ac:dyDescent="0.15">
      <c r="B370" s="50"/>
      <c r="C370" s="46"/>
      <c r="D370" s="13" t="s">
        <v>184</v>
      </c>
      <c r="E370" s="13">
        <v>3</v>
      </c>
      <c r="F370" s="13" t="s">
        <v>185</v>
      </c>
      <c r="G370" s="13"/>
      <c r="H370" s="13">
        <v>7</v>
      </c>
      <c r="I370" s="21" t="s">
        <v>29</v>
      </c>
      <c r="J370" s="13" t="s">
        <v>186</v>
      </c>
    </row>
    <row r="371" spans="2:10" ht="54" x14ac:dyDescent="0.15">
      <c r="B371" s="50"/>
      <c r="C371" s="41" t="s">
        <v>103</v>
      </c>
      <c r="D371" s="24" t="s">
        <v>187</v>
      </c>
      <c r="E371" s="24">
        <v>3</v>
      </c>
      <c r="F371" s="24">
        <v>12</v>
      </c>
      <c r="G371" s="24"/>
      <c r="H371" s="24">
        <v>9</v>
      </c>
      <c r="I371" s="27" t="s">
        <v>25</v>
      </c>
      <c r="J371" s="24" t="s">
        <v>188</v>
      </c>
    </row>
    <row r="372" spans="2:10" ht="54" x14ac:dyDescent="0.15">
      <c r="B372" s="50"/>
      <c r="C372" s="42"/>
      <c r="D372" s="13" t="s">
        <v>189</v>
      </c>
      <c r="E372" s="13">
        <v>3</v>
      </c>
      <c r="F372" s="13" t="s">
        <v>21</v>
      </c>
      <c r="G372" s="13"/>
      <c r="H372" s="13">
        <v>8</v>
      </c>
      <c r="I372" s="21" t="s">
        <v>25</v>
      </c>
      <c r="J372" s="13" t="s">
        <v>190</v>
      </c>
    </row>
    <row r="373" spans="2:10" ht="54" x14ac:dyDescent="0.15">
      <c r="B373" s="50"/>
      <c r="C373" s="42"/>
      <c r="D373" s="13" t="s">
        <v>110</v>
      </c>
      <c r="E373" s="13">
        <v>3</v>
      </c>
      <c r="F373" s="13" t="s">
        <v>57</v>
      </c>
      <c r="G373" s="13"/>
      <c r="H373" s="13">
        <v>9</v>
      </c>
      <c r="I373" s="21" t="s">
        <v>29</v>
      </c>
      <c r="J373" s="13" t="s">
        <v>111</v>
      </c>
    </row>
    <row r="374" spans="2:10" ht="54" x14ac:dyDescent="0.15">
      <c r="B374" s="50"/>
      <c r="C374" s="42"/>
      <c r="D374" s="13" t="s">
        <v>191</v>
      </c>
      <c r="E374" s="13">
        <v>3</v>
      </c>
      <c r="F374" s="13">
        <v>15</v>
      </c>
      <c r="G374" s="13"/>
      <c r="H374" s="13">
        <v>9</v>
      </c>
      <c r="I374" s="21" t="s">
        <v>29</v>
      </c>
      <c r="J374" s="13" t="s">
        <v>192</v>
      </c>
    </row>
    <row r="375" spans="2:10" ht="54" x14ac:dyDescent="0.15">
      <c r="B375" s="50"/>
      <c r="C375" s="42"/>
      <c r="D375" s="13" t="s">
        <v>193</v>
      </c>
      <c r="E375" s="13">
        <v>4</v>
      </c>
      <c r="F375" s="13">
        <v>8</v>
      </c>
      <c r="G375" s="13"/>
      <c r="H375" s="13">
        <v>10</v>
      </c>
      <c r="I375" s="21" t="s">
        <v>32</v>
      </c>
      <c r="J375" s="13" t="s">
        <v>194</v>
      </c>
    </row>
    <row r="376" spans="2:10" ht="54" x14ac:dyDescent="0.15">
      <c r="B376" s="50"/>
      <c r="C376" s="42"/>
      <c r="D376" s="13" t="s">
        <v>195</v>
      </c>
      <c r="E376" s="13">
        <v>4</v>
      </c>
      <c r="F376" s="13">
        <v>8</v>
      </c>
      <c r="G376" s="13"/>
      <c r="H376" s="13">
        <v>10</v>
      </c>
      <c r="I376" s="21" t="s">
        <v>32</v>
      </c>
      <c r="J376" s="13" t="s">
        <v>194</v>
      </c>
    </row>
    <row r="377" spans="2:10" ht="54" x14ac:dyDescent="0.15">
      <c r="B377" s="51"/>
      <c r="C377" s="43"/>
      <c r="D377" s="28" t="s">
        <v>196</v>
      </c>
      <c r="E377" s="28">
        <v>4</v>
      </c>
      <c r="F377" s="28">
        <v>8</v>
      </c>
      <c r="G377" s="28"/>
      <c r="H377" s="28">
        <v>10</v>
      </c>
      <c r="I377" s="30" t="s">
        <v>29</v>
      </c>
      <c r="J377" s="28" t="s">
        <v>197</v>
      </c>
    </row>
  </sheetData>
  <mergeCells count="60">
    <mergeCell ref="B103:B147"/>
    <mergeCell ref="B149:B193"/>
    <mergeCell ref="B195:B239"/>
    <mergeCell ref="C43:C48"/>
    <mergeCell ref="C49:C55"/>
    <mergeCell ref="B57:B101"/>
    <mergeCell ref="C58:C65"/>
    <mergeCell ref="C66:C73"/>
    <mergeCell ref="C74:C81"/>
    <mergeCell ref="C141:C147"/>
    <mergeCell ref="C120:C127"/>
    <mergeCell ref="C204:C211"/>
    <mergeCell ref="C212:C219"/>
    <mergeCell ref="C220:C226"/>
    <mergeCell ref="C227:C232"/>
    <mergeCell ref="C89:C94"/>
    <mergeCell ref="C95:C101"/>
    <mergeCell ref="C82:C88"/>
    <mergeCell ref="C104:C111"/>
    <mergeCell ref="C112:C119"/>
    <mergeCell ref="C28:C35"/>
    <mergeCell ref="C36:C42"/>
    <mergeCell ref="B1:J1"/>
    <mergeCell ref="D3:H3"/>
    <mergeCell ref="D4:H4"/>
    <mergeCell ref="C7:D8"/>
    <mergeCell ref="B11:B55"/>
    <mergeCell ref="C12:C19"/>
    <mergeCell ref="C20:C27"/>
    <mergeCell ref="C371:C377"/>
    <mergeCell ref="B287:B331"/>
    <mergeCell ref="B333:B377"/>
    <mergeCell ref="C187:C193"/>
    <mergeCell ref="C196:C203"/>
    <mergeCell ref="B241:B285"/>
    <mergeCell ref="C242:C249"/>
    <mergeCell ref="C250:C257"/>
    <mergeCell ref="C258:C265"/>
    <mergeCell ref="C325:C331"/>
    <mergeCell ref="C233:C239"/>
    <mergeCell ref="C334:C341"/>
    <mergeCell ref="C342:C349"/>
    <mergeCell ref="C350:C357"/>
    <mergeCell ref="C358:C364"/>
    <mergeCell ref="C365:C370"/>
    <mergeCell ref="C288:C295"/>
    <mergeCell ref="C296:C303"/>
    <mergeCell ref="C304:C311"/>
    <mergeCell ref="C312:C318"/>
    <mergeCell ref="C319:C324"/>
    <mergeCell ref="C174:C180"/>
    <mergeCell ref="C181:C186"/>
    <mergeCell ref="C273:C278"/>
    <mergeCell ref="C279:C285"/>
    <mergeCell ref="C266:C272"/>
    <mergeCell ref="C128:C134"/>
    <mergeCell ref="C135:C140"/>
    <mergeCell ref="C150:C157"/>
    <mergeCell ref="C158:C165"/>
    <mergeCell ref="C166:C173"/>
  </mergeCells>
  <conditionalFormatting sqref="D12:J55 D58:J101 D196:J239 D334:J377">
    <cfRule type="expression" dxfId="3" priority="1">
      <formula>MOD(ROW(),2)=1</formula>
    </cfRule>
  </conditionalFormatting>
  <conditionalFormatting sqref="D12:J55 D58:J101 D196:J239 D334:J377">
    <cfRule type="expression" dxfId="2" priority="2">
      <formula>MOD(ROW(),2)=0</formula>
    </cfRule>
  </conditionalFormatting>
  <conditionalFormatting sqref="D104:J147 D150:J193 D242:J285 D288:J331">
    <cfRule type="expression" dxfId="1" priority="3">
      <formula>MOD(ROW(),2)=0</formula>
    </cfRule>
  </conditionalFormatting>
  <conditionalFormatting sqref="D104:J147 D150:J193 D242:J285 D288:J331">
    <cfRule type="expression" dxfId="0" priority="4">
      <formula>MOD(ROW(),2)=1</formula>
    </cfRule>
  </conditionalFormatting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Block 1</vt:lpstr>
      <vt:lpstr>Block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Edsey</dc:creator>
  <cp:lastModifiedBy>Microsoft Office User</cp:lastModifiedBy>
  <dcterms:created xsi:type="dcterms:W3CDTF">2021-05-16T15:28:59Z</dcterms:created>
  <dcterms:modified xsi:type="dcterms:W3CDTF">2022-04-08T01:10:39Z</dcterms:modified>
</cp:coreProperties>
</file>